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500" yWindow="-120" windowWidth="10830" windowHeight="9435"/>
  </bookViews>
  <sheets>
    <sheet name="NRLFILMS NAMING CONVENTIONS" sheetId="2" r:id="rId1"/>
  </sheets>
  <definedNames>
    <definedName name="_xlnm.Print_Area" localSheetId="0">'NRLFILMS NAMING CONVENTIONS'!$A$1:$K$307</definedName>
  </definedNames>
  <calcPr calcId="124519"/>
</workbook>
</file>

<file path=xl/calcChain.xml><?xml version="1.0" encoding="utf-8"?>
<calcChain xmlns="http://schemas.openxmlformats.org/spreadsheetml/2006/main">
  <c r="D299" i="2"/>
  <c r="D298"/>
  <c r="D293"/>
  <c r="D292"/>
  <c r="D286"/>
  <c r="D285"/>
  <c r="D280"/>
  <c r="D279"/>
  <c r="D261"/>
  <c r="D260"/>
  <c r="D255"/>
  <c r="D254"/>
  <c r="D248"/>
  <c r="D247"/>
  <c r="D242"/>
  <c r="D241"/>
  <c r="D223"/>
  <c r="D222"/>
  <c r="D217"/>
  <c r="D216"/>
  <c r="D210"/>
  <c r="D209"/>
  <c r="D204"/>
  <c r="D203"/>
  <c r="D185"/>
  <c r="D184"/>
  <c r="D179"/>
  <c r="D178"/>
  <c r="D172"/>
  <c r="D171"/>
  <c r="D166"/>
  <c r="D165"/>
  <c r="D147"/>
  <c r="D146"/>
  <c r="D141"/>
  <c r="D140"/>
  <c r="D134"/>
  <c r="D133"/>
  <c r="D128"/>
  <c r="D127"/>
  <c r="D109"/>
  <c r="D108"/>
  <c r="D103"/>
  <c r="D102"/>
  <c r="D96"/>
  <c r="D95"/>
  <c r="D90"/>
  <c r="D89"/>
  <c r="D71"/>
  <c r="D70"/>
  <c r="D65"/>
  <c r="D64"/>
  <c r="D27"/>
  <c r="D26"/>
  <c r="D14"/>
  <c r="D13"/>
  <c r="D52"/>
  <c r="D51"/>
  <c r="D58"/>
  <c r="D57"/>
  <c r="D33"/>
  <c r="D32"/>
  <c r="D20"/>
  <c r="D19"/>
  <c r="C275"/>
  <c r="B275"/>
  <c r="C237"/>
  <c r="B237"/>
  <c r="C199"/>
  <c r="B199"/>
  <c r="C161"/>
  <c r="B161"/>
  <c r="C123"/>
  <c r="B123"/>
  <c r="C85"/>
  <c r="B85"/>
  <c r="C47"/>
  <c r="B47"/>
  <c r="B9"/>
  <c r="C9"/>
  <c r="D283"/>
  <c r="D282"/>
  <c r="D277"/>
  <c r="D276"/>
  <c r="D296"/>
  <c r="D295"/>
  <c r="D290"/>
  <c r="D289"/>
  <c r="D245"/>
  <c r="D244"/>
  <c r="D239"/>
  <c r="D238"/>
  <c r="D258"/>
  <c r="D257"/>
  <c r="D252"/>
  <c r="D251"/>
  <c r="D207"/>
  <c r="D206"/>
  <c r="D201"/>
  <c r="D200"/>
  <c r="D220"/>
  <c r="D219"/>
  <c r="D214"/>
  <c r="D213"/>
  <c r="D169"/>
  <c r="D168"/>
  <c r="D163"/>
  <c r="D162"/>
  <c r="D182"/>
  <c r="D181"/>
  <c r="D176"/>
  <c r="D175"/>
  <c r="D131"/>
  <c r="D130"/>
  <c r="D125"/>
  <c r="D124"/>
  <c r="D144"/>
  <c r="D143"/>
  <c r="D138"/>
  <c r="D137"/>
  <c r="D93"/>
  <c r="D92"/>
  <c r="D87"/>
  <c r="D86"/>
  <c r="D106"/>
  <c r="D105"/>
  <c r="D100"/>
  <c r="D99"/>
  <c r="D55"/>
  <c r="D54"/>
  <c r="D49"/>
  <c r="D48"/>
  <c r="D68"/>
  <c r="D67"/>
  <c r="D62"/>
  <c r="D61"/>
  <c r="D17"/>
  <c r="D16"/>
  <c r="D11"/>
  <c r="D10"/>
  <c r="D30"/>
  <c r="D29"/>
  <c r="D24"/>
  <c r="D23"/>
</calcChain>
</file>

<file path=xl/sharedStrings.xml><?xml version="1.0" encoding="utf-8"?>
<sst xmlns="http://schemas.openxmlformats.org/spreadsheetml/2006/main" count="258" uniqueCount="46">
  <si>
    <t>Brisbane Broncos</t>
  </si>
  <si>
    <t>Canberra Raiders</t>
  </si>
  <si>
    <t>Canterbury-Bankstown Bulldogs</t>
  </si>
  <si>
    <t>Cronulla-Sutherland Sharks</t>
  </si>
  <si>
    <t>Gold Coast Titans</t>
  </si>
  <si>
    <t>Manly-Warringah Sea Eagles</t>
  </si>
  <si>
    <t>Melbourne Storm</t>
  </si>
  <si>
    <t>St. George Illawarra Dragons</t>
  </si>
  <si>
    <t>Sydney Roosters</t>
  </si>
  <si>
    <t>New Zealand Warriors</t>
  </si>
  <si>
    <t>Newcastle Knights</t>
  </si>
  <si>
    <t>North Queensland Cowboys</t>
  </si>
  <si>
    <t>Parramatta Eels</t>
  </si>
  <si>
    <t>Penrith Panthers</t>
  </si>
  <si>
    <t>South Sydney Rabbitohs</t>
  </si>
  <si>
    <t>Wests Tigers</t>
  </si>
  <si>
    <t>VIDEO NAMING CONVENTIONS 2014</t>
  </si>
  <si>
    <t>Competition</t>
  </si>
  <si>
    <t>Home Team</t>
  </si>
  <si>
    <t>Away Team</t>
  </si>
  <si>
    <t>Round</t>
  </si>
  <si>
    <t>NYC</t>
  </si>
  <si>
    <t>MP4 &amp; MPG PGM</t>
  </si>
  <si>
    <t>MP4 &amp; MPG Cam</t>
  </si>
  <si>
    <t>Prozone Ref PGM</t>
  </si>
  <si>
    <t>Prozone Ref Eagle</t>
  </si>
  <si>
    <t>NRL</t>
  </si>
  <si>
    <t>Prozone - part of the Amisco Group</t>
  </si>
  <si>
    <t>STG</t>
  </si>
  <si>
    <t>SYD</t>
  </si>
  <si>
    <t>Team Code</t>
  </si>
  <si>
    <t>MEL</t>
  </si>
  <si>
    <t>WAR</t>
  </si>
  <si>
    <t>BRI</t>
  </si>
  <si>
    <t>SOU</t>
  </si>
  <si>
    <t>CRO</t>
  </si>
  <si>
    <t>PEN</t>
  </si>
  <si>
    <t>NQL</t>
  </si>
  <si>
    <t>PAR</t>
  </si>
  <si>
    <t>BUL</t>
  </si>
  <si>
    <t>NEW</t>
  </si>
  <si>
    <t>MAN</t>
  </si>
  <si>
    <t>CAN</t>
  </si>
  <si>
    <t>WST</t>
  </si>
  <si>
    <t>GOL</t>
  </si>
  <si>
    <t>09</t>
  </si>
</sst>
</file>

<file path=xl/styles.xml><?xml version="1.0" encoding="utf-8"?>
<styleSheet xmlns="http://schemas.openxmlformats.org/spreadsheetml/2006/main">
  <fonts count="32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20"/>
      <color rgb="FFFFFFFF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8"/>
      <color rgb="FF000000"/>
      <name val="Arial"/>
      <family val="2"/>
    </font>
    <font>
      <b/>
      <sz val="10"/>
      <color rgb="FF000000"/>
      <name val="Arial"/>
      <family val="2"/>
    </font>
    <font>
      <sz val="9.9"/>
      <color rgb="FF000000"/>
      <name val="Arial"/>
      <family val="2"/>
    </font>
    <font>
      <sz val="16"/>
      <color rgb="FFFFFFFF"/>
      <name val="Arial"/>
      <family val="2"/>
    </font>
    <font>
      <sz val="9"/>
      <color rgb="FF00000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74747"/>
        <bgColor rgb="FF000000"/>
      </patternFill>
    </fill>
    <fill>
      <patternFill patternType="solid">
        <fgColor rgb="FF39AA3F"/>
        <bgColor rgb="FF000000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2">
    <xf numFmtId="0" fontId="0" fillId="0" borderId="0" xfId="0" applyFont="1"/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10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9" xfId="0" applyFont="1" applyBorder="1" applyAlignment="1">
      <alignment horizontal="left" vertical="center"/>
    </xf>
    <xf numFmtId="0" fontId="20" fillId="0" borderId="20" xfId="0" applyFont="1" applyBorder="1" applyAlignment="1">
      <alignment vertical="center"/>
    </xf>
    <xf numFmtId="0" fontId="20" fillId="0" borderId="18" xfId="0" applyFont="1" applyBorder="1" applyAlignment="1">
      <alignment vertical="center"/>
    </xf>
    <xf numFmtId="0" fontId="26" fillId="0" borderId="12" xfId="0" applyFont="1" applyBorder="1" applyAlignment="1">
      <alignment horizontal="left" vertical="center"/>
    </xf>
    <xf numFmtId="0" fontId="26" fillId="0" borderId="16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2" fillId="0" borderId="22" xfId="0" applyFont="1" applyBorder="1" applyAlignment="1">
      <alignment vertical="center"/>
    </xf>
    <xf numFmtId="0" fontId="22" fillId="0" borderId="15" xfId="0" applyFont="1" applyBorder="1" applyAlignment="1">
      <alignment vertical="center"/>
    </xf>
    <xf numFmtId="0" fontId="22" fillId="0" borderId="22" xfId="0" applyFont="1" applyBorder="1" applyAlignment="1">
      <alignment horizontal="left" vertical="center"/>
    </xf>
    <xf numFmtId="0" fontId="22" fillId="0" borderId="20" xfId="0" applyFont="1" applyBorder="1" applyAlignment="1">
      <alignment vertical="center"/>
    </xf>
    <xf numFmtId="0" fontId="22" fillId="0" borderId="18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13" xfId="0" applyFont="1" applyBorder="1" applyAlignment="1">
      <alignment vertical="center"/>
    </xf>
    <xf numFmtId="0" fontId="26" fillId="0" borderId="15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26" fillId="0" borderId="22" xfId="0" applyFont="1" applyBorder="1" applyAlignment="1">
      <alignment vertical="center"/>
    </xf>
    <xf numFmtId="0" fontId="25" fillId="0" borderId="23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2" xfId="0" applyFont="1" applyBorder="1" applyAlignment="1">
      <alignment horizontal="left" vertical="center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5" fillId="0" borderId="20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30" fillId="0" borderId="10" xfId="0" applyFont="1" applyBorder="1" applyAlignment="1">
      <alignment horizontal="left" vertical="top"/>
    </xf>
    <xf numFmtId="0" fontId="30" fillId="0" borderId="14" xfId="0" applyFont="1" applyBorder="1" applyAlignment="1">
      <alignment horizontal="left" vertical="top"/>
    </xf>
    <xf numFmtId="0" fontId="28" fillId="0" borderId="10" xfId="0" applyFont="1" applyBorder="1" applyAlignment="1">
      <alignment vertical="center"/>
    </xf>
    <xf numFmtId="0" fontId="29" fillId="0" borderId="10" xfId="0" applyFont="1" applyBorder="1"/>
    <xf numFmtId="0" fontId="25" fillId="0" borderId="11" xfId="0" applyFont="1" applyBorder="1" applyAlignment="1">
      <alignment horizontal="center" vertical="center"/>
    </xf>
    <xf numFmtId="0" fontId="28" fillId="0" borderId="13" xfId="0" applyFont="1" applyBorder="1" applyAlignment="1">
      <alignment vertical="center"/>
    </xf>
    <xf numFmtId="0" fontId="28" fillId="0" borderId="11" xfId="0" applyFont="1" applyBorder="1" applyAlignment="1">
      <alignment horizontal="left" vertical="center"/>
    </xf>
    <xf numFmtId="0" fontId="28" fillId="0" borderId="22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top"/>
    </xf>
    <xf numFmtId="0" fontId="27" fillId="34" borderId="0" xfId="0" applyFont="1" applyFill="1" applyAlignment="1">
      <alignment horizontal="center" vertical="center"/>
    </xf>
    <xf numFmtId="0" fontId="21" fillId="33" borderId="0" xfId="0" applyFont="1" applyFill="1" applyAlignment="1">
      <alignment horizontal="right" vertical="center"/>
    </xf>
    <xf numFmtId="0" fontId="25" fillId="0" borderId="2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49" fontId="25" fillId="0" borderId="12" xfId="0" applyNumberFormat="1" applyFont="1" applyBorder="1" applyAlignment="1">
      <alignment horizontal="left" vertical="center"/>
    </xf>
    <xf numFmtId="49" fontId="25" fillId="0" borderId="16" xfId="0" applyNumberFormat="1" applyFont="1" applyBorder="1" applyAlignment="1">
      <alignment horizontal="left" vertical="center"/>
    </xf>
    <xf numFmtId="0" fontId="25" fillId="0" borderId="23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71439</xdr:colOff>
      <xdr:row>0</xdr:row>
      <xdr:rowOff>71439</xdr:rowOff>
    </xdr:from>
    <xdr:to>
      <xdr:col>2</xdr:col>
      <xdr:colOff>1191474</xdr:colOff>
      <xdr:row>4</xdr:row>
      <xdr:rowOff>81871</xdr:rowOff>
    </xdr:to>
    <xdr:pic>
      <xdr:nvPicPr>
        <xdr:cNvPr id="2" name="Picture 1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439" y="71439"/>
          <a:ext cx="3811522" cy="677182"/>
        </a:xfrm>
        <a:prstGeom prst="rect">
          <a:avLst/>
        </a:prstGeom>
      </xdr:spPr>
    </xdr:pic>
    <xdr:clientData/>
  </xdr:twoCellAnchor>
  <xdr:twoCellAnchor editAs="oneCell">
    <xdr:from>
      <xdr:col>0</xdr:col>
      <xdr:colOff>70756</xdr:colOff>
      <xdr:row>38</xdr:row>
      <xdr:rowOff>70757</xdr:rowOff>
    </xdr:from>
    <xdr:to>
      <xdr:col>2</xdr:col>
      <xdr:colOff>1204615</xdr:colOff>
      <xdr:row>42</xdr:row>
      <xdr:rowOff>4989</xdr:rowOff>
    </xdr:to>
    <xdr:pic>
      <xdr:nvPicPr>
        <xdr:cNvPr id="3" name="Picture 2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756" y="6557282"/>
          <a:ext cx="3801316" cy="658132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76</xdr:row>
      <xdr:rowOff>80963</xdr:rowOff>
    </xdr:from>
    <xdr:to>
      <xdr:col>2</xdr:col>
      <xdr:colOff>1228613</xdr:colOff>
      <xdr:row>80</xdr:row>
      <xdr:rowOff>91395</xdr:rowOff>
    </xdr:to>
    <xdr:pic>
      <xdr:nvPicPr>
        <xdr:cNvPr id="4" name="Picture 3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" y="13044488"/>
          <a:ext cx="3810841" cy="658132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152</xdr:row>
      <xdr:rowOff>76201</xdr:rowOff>
    </xdr:from>
    <xdr:to>
      <xdr:col>2</xdr:col>
      <xdr:colOff>1200038</xdr:colOff>
      <xdr:row>156</xdr:row>
      <xdr:rowOff>86633</xdr:rowOff>
    </xdr:to>
    <xdr:pic>
      <xdr:nvPicPr>
        <xdr:cNvPr id="6" name="Picture 5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6022301"/>
          <a:ext cx="3810841" cy="658132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190</xdr:row>
      <xdr:rowOff>104775</xdr:rowOff>
    </xdr:from>
    <xdr:to>
      <xdr:col>2</xdr:col>
      <xdr:colOff>1209563</xdr:colOff>
      <xdr:row>194</xdr:row>
      <xdr:rowOff>115207</xdr:rowOff>
    </xdr:to>
    <xdr:pic>
      <xdr:nvPicPr>
        <xdr:cNvPr id="7" name="Picture 6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32537400"/>
          <a:ext cx="3810841" cy="658132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228</xdr:row>
      <xdr:rowOff>104776</xdr:rowOff>
    </xdr:from>
    <xdr:to>
      <xdr:col>2</xdr:col>
      <xdr:colOff>1205296</xdr:colOff>
      <xdr:row>232</xdr:row>
      <xdr:rowOff>115208</xdr:rowOff>
    </xdr:to>
    <xdr:pic>
      <xdr:nvPicPr>
        <xdr:cNvPr id="8" name="Picture 7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437" y="39023926"/>
          <a:ext cx="3801316" cy="658132"/>
        </a:xfrm>
        <a:prstGeom prst="rect">
          <a:avLst/>
        </a:prstGeom>
      </xdr:spPr>
    </xdr:pic>
    <xdr:clientData/>
  </xdr:twoCellAnchor>
  <xdr:twoCellAnchor editAs="oneCell">
    <xdr:from>
      <xdr:col>0</xdr:col>
      <xdr:colOff>66674</xdr:colOff>
      <xdr:row>266</xdr:row>
      <xdr:rowOff>80963</xdr:rowOff>
    </xdr:from>
    <xdr:to>
      <xdr:col>2</xdr:col>
      <xdr:colOff>1200034</xdr:colOff>
      <xdr:row>270</xdr:row>
      <xdr:rowOff>91395</xdr:rowOff>
    </xdr:to>
    <xdr:pic>
      <xdr:nvPicPr>
        <xdr:cNvPr id="9" name="Picture 8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4" y="45586651"/>
          <a:ext cx="3825129" cy="677182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114</xdr:row>
      <xdr:rowOff>61913</xdr:rowOff>
    </xdr:from>
    <xdr:to>
      <xdr:col>2</xdr:col>
      <xdr:colOff>1219585</xdr:colOff>
      <xdr:row>118</xdr:row>
      <xdr:rowOff>5670</xdr:rowOff>
    </xdr:to>
    <xdr:pic>
      <xdr:nvPicPr>
        <xdr:cNvPr id="10" name="Picture 9" descr="prozone-logo-whit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6200" y="19511963"/>
          <a:ext cx="3810841" cy="658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1" tint="0.14999847407452621"/>
  </sheetPr>
  <dimension ref="A1:V307"/>
  <sheetViews>
    <sheetView showGridLines="0" tabSelected="1" topLeftCell="A65" zoomScale="120" zoomScaleNormal="120" workbookViewId="0">
      <selection activeCell="C183" sqref="C183"/>
    </sheetView>
  </sheetViews>
  <sheetFormatPr defaultColWidth="9.140625" defaultRowHeight="14.25"/>
  <cols>
    <col min="1" max="1" width="12.42578125" style="2" customWidth="1"/>
    <col min="2" max="3" width="27.5703125" style="2" customWidth="1"/>
    <col min="4" max="4" width="17.140625" style="2" customWidth="1"/>
    <col min="5" max="5" width="1.7109375" style="2" customWidth="1"/>
    <col min="6" max="8" width="9.140625" style="2"/>
    <col min="9" max="10" width="8.7109375" style="2" customWidth="1"/>
    <col min="11" max="11" width="15.42578125" style="2" customWidth="1"/>
    <col min="12" max="12" width="8.7109375" style="2" customWidth="1"/>
    <col min="13" max="14" width="9.140625" style="2"/>
    <col min="15" max="15" width="33.85546875" style="2" customWidth="1"/>
    <col min="16" max="16" width="34.85546875" style="2" customWidth="1"/>
    <col min="17" max="17" width="10.85546875" style="3" customWidth="1"/>
    <col min="18" max="18" width="9.140625" style="2"/>
    <col min="19" max="19" width="9.140625" style="2" customWidth="1"/>
    <col min="20" max="21" width="9.140625" style="2"/>
    <col min="22" max="22" width="33.28515625" style="2" customWidth="1"/>
    <col min="23" max="16384" width="9.140625" style="2"/>
  </cols>
  <sheetData>
    <row r="1" spans="1:22" ht="12.75" customHeight="1">
      <c r="A1" s="52" t="s">
        <v>16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O1" s="49" t="s">
        <v>0</v>
      </c>
      <c r="P1" s="1" t="s">
        <v>6</v>
      </c>
      <c r="Q1" s="49" t="s">
        <v>33</v>
      </c>
      <c r="R1" s="48"/>
      <c r="S1" s="48" t="s">
        <v>33</v>
      </c>
      <c r="V1" s="49" t="s">
        <v>0</v>
      </c>
    </row>
    <row r="2" spans="1:22" ht="12.7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O2" s="49" t="s">
        <v>1</v>
      </c>
      <c r="P2" s="1" t="s">
        <v>10</v>
      </c>
      <c r="Q2" s="49" t="s">
        <v>42</v>
      </c>
      <c r="R2" s="48"/>
      <c r="S2" s="48" t="s">
        <v>39</v>
      </c>
      <c r="V2" s="49" t="s">
        <v>1</v>
      </c>
    </row>
    <row r="3" spans="1:22" ht="12.7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O3" s="49" t="s">
        <v>2</v>
      </c>
      <c r="P3" s="6" t="s">
        <v>5</v>
      </c>
      <c r="Q3" s="49" t="s">
        <v>39</v>
      </c>
      <c r="R3" s="48"/>
      <c r="S3" s="48" t="s">
        <v>42</v>
      </c>
      <c r="V3" s="49" t="s">
        <v>2</v>
      </c>
    </row>
    <row r="4" spans="1:22" ht="12.75" customHeight="1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O4" s="49" t="s">
        <v>3</v>
      </c>
      <c r="P4" s="1" t="s">
        <v>7</v>
      </c>
      <c r="Q4" s="49" t="s">
        <v>35</v>
      </c>
      <c r="S4" s="48" t="s">
        <v>35</v>
      </c>
      <c r="V4" s="49" t="s">
        <v>3</v>
      </c>
    </row>
    <row r="5" spans="1:22" ht="12.75" customHeight="1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O5" s="49" t="s">
        <v>4</v>
      </c>
      <c r="P5" s="1" t="s">
        <v>3</v>
      </c>
      <c r="Q5" s="49" t="s">
        <v>44</v>
      </c>
      <c r="S5" s="48" t="s">
        <v>44</v>
      </c>
      <c r="V5" s="49" t="s">
        <v>4</v>
      </c>
    </row>
    <row r="6" spans="1:22" ht="12.75" customHeight="1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O6" s="49" t="s">
        <v>5</v>
      </c>
      <c r="P6" s="1" t="s">
        <v>1</v>
      </c>
      <c r="Q6" s="49" t="s">
        <v>41</v>
      </c>
      <c r="S6" s="48" t="s">
        <v>41</v>
      </c>
      <c r="V6" s="49" t="s">
        <v>5</v>
      </c>
    </row>
    <row r="7" spans="1:22" ht="12.75" customHeight="1">
      <c r="A7" s="7"/>
      <c r="B7" s="7"/>
      <c r="C7" s="7"/>
      <c r="O7" s="49" t="s">
        <v>6</v>
      </c>
      <c r="P7" s="1" t="s">
        <v>12</v>
      </c>
      <c r="Q7" s="49" t="s">
        <v>31</v>
      </c>
      <c r="S7" s="48" t="s">
        <v>31</v>
      </c>
      <c r="V7" s="49" t="s">
        <v>6</v>
      </c>
    </row>
    <row r="8" spans="1:22" ht="12.75" customHeight="1">
      <c r="A8" s="8" t="s">
        <v>17</v>
      </c>
      <c r="B8" s="9" t="s">
        <v>18</v>
      </c>
      <c r="C8" s="9" t="s">
        <v>19</v>
      </c>
      <c r="D8" s="10" t="s">
        <v>20</v>
      </c>
      <c r="E8" s="58" t="s">
        <v>45</v>
      </c>
      <c r="F8" s="59"/>
      <c r="O8" s="49" t="s">
        <v>9</v>
      </c>
      <c r="P8" s="1" t="s">
        <v>15</v>
      </c>
      <c r="Q8" s="49" t="s">
        <v>32</v>
      </c>
      <c r="S8" s="48" t="s">
        <v>40</v>
      </c>
      <c r="V8" s="49" t="s">
        <v>9</v>
      </c>
    </row>
    <row r="9" spans="1:22" ht="12.75" customHeight="1">
      <c r="A9" s="60" t="s">
        <v>21</v>
      </c>
      <c r="B9" s="53" t="str">
        <f>B$22&amp;" U20"</f>
        <v>New Zealand Warriors U20</v>
      </c>
      <c r="C9" s="53" t="str">
        <f>C$22&amp;" U20"</f>
        <v>Parramatta Eels U20</v>
      </c>
      <c r="D9" s="12" t="s">
        <v>22</v>
      </c>
      <c r="G9" s="13"/>
      <c r="H9" s="13"/>
      <c r="I9" s="13"/>
      <c r="J9" s="13"/>
      <c r="K9" s="14"/>
      <c r="O9" s="49" t="s">
        <v>10</v>
      </c>
      <c r="P9" s="1" t="s">
        <v>2</v>
      </c>
      <c r="Q9" s="49" t="s">
        <v>40</v>
      </c>
      <c r="S9" s="48" t="s">
        <v>37</v>
      </c>
      <c r="V9" s="49" t="s">
        <v>10</v>
      </c>
    </row>
    <row r="10" spans="1:22" ht="12.75" customHeight="1">
      <c r="A10" s="61"/>
      <c r="B10" s="55"/>
      <c r="C10" s="55"/>
      <c r="D10" s="39" t="str">
        <f>"NYC_14"&amp;E$8&amp;"01_"&amp;B$24&amp;"_"&amp;C$24&amp;"_PGM_H1"</f>
        <v>NYC_140901_WAR_PAR_PGM_H1</v>
      </c>
      <c r="E10" s="15"/>
      <c r="F10" s="15"/>
      <c r="G10" s="15"/>
      <c r="H10" s="15"/>
      <c r="I10" s="15"/>
      <c r="J10" s="15"/>
      <c r="K10" s="16"/>
      <c r="O10" s="49" t="s">
        <v>11</v>
      </c>
      <c r="P10" s="6" t="s">
        <v>9</v>
      </c>
      <c r="Q10" s="49" t="s">
        <v>37</v>
      </c>
      <c r="S10" s="48" t="s">
        <v>38</v>
      </c>
      <c r="V10" s="49" t="s">
        <v>11</v>
      </c>
    </row>
    <row r="11" spans="1:22" ht="12.75" customHeight="1">
      <c r="A11" s="5"/>
      <c r="B11" s="5"/>
      <c r="C11" s="5"/>
      <c r="D11" s="39" t="str">
        <f>"NYC_14"&amp;E$8&amp;"01_"&amp;B$24&amp;"_"&amp;C$24&amp;"_PGM_H2"</f>
        <v>NYC_140901_WAR_PAR_PGM_H2</v>
      </c>
      <c r="E11" s="15"/>
      <c r="F11" s="15"/>
      <c r="G11" s="15"/>
      <c r="H11" s="15"/>
      <c r="I11" s="15"/>
      <c r="J11" s="15"/>
      <c r="K11" s="16"/>
      <c r="O11" s="49" t="s">
        <v>12</v>
      </c>
      <c r="P11" s="1" t="s">
        <v>8</v>
      </c>
      <c r="Q11" s="49" t="s">
        <v>38</v>
      </c>
      <c r="S11" s="48" t="s">
        <v>36</v>
      </c>
      <c r="V11" s="49" t="s">
        <v>12</v>
      </c>
    </row>
    <row r="12" spans="1:22" ht="12.75" customHeight="1">
      <c r="A12" s="5"/>
      <c r="B12" s="5"/>
      <c r="C12" s="5"/>
      <c r="D12" s="12" t="s">
        <v>23</v>
      </c>
      <c r="E12" s="18"/>
      <c r="F12" s="18"/>
      <c r="G12" s="18"/>
      <c r="H12" s="18"/>
      <c r="I12" s="18"/>
      <c r="J12" s="18"/>
      <c r="K12" s="19"/>
      <c r="O12" s="49" t="s">
        <v>13</v>
      </c>
      <c r="P12" s="1" t="s">
        <v>11</v>
      </c>
      <c r="Q12" s="49" t="s">
        <v>36</v>
      </c>
      <c r="S12" s="48" t="s">
        <v>34</v>
      </c>
      <c r="V12" s="49" t="s">
        <v>13</v>
      </c>
    </row>
    <row r="13" spans="1:22" ht="12.75" customHeight="1">
      <c r="A13" s="5"/>
      <c r="B13" s="5"/>
      <c r="C13" s="5"/>
      <c r="D13" s="39" t="str">
        <f>"NYC_14"&amp;E$8&amp;"01_"&amp;B$24&amp;"_"&amp;C$24&amp;"_CAM1_H1"</f>
        <v>NYC_140901_WAR_PAR_CAM1_H1</v>
      </c>
      <c r="E13" s="15"/>
      <c r="F13" s="15"/>
      <c r="G13" s="15"/>
      <c r="H13" s="15"/>
      <c r="I13" s="15"/>
      <c r="J13" s="15"/>
      <c r="K13" s="16"/>
      <c r="O13" s="49" t="s">
        <v>14</v>
      </c>
      <c r="P13" s="6" t="s">
        <v>4</v>
      </c>
      <c r="Q13" s="49" t="s">
        <v>34</v>
      </c>
      <c r="S13" s="48" t="s">
        <v>28</v>
      </c>
      <c r="V13" s="49" t="s">
        <v>14</v>
      </c>
    </row>
    <row r="14" spans="1:22" ht="12.75" customHeight="1">
      <c r="A14" s="5"/>
      <c r="B14" s="5"/>
      <c r="C14" s="5"/>
      <c r="D14" s="40" t="str">
        <f>"NYC_14"&amp;E$8&amp;"01_"&amp;B$24&amp;"_"&amp;C$24&amp;"_CAM1_H2"</f>
        <v>NYC_140901_WAR_PAR_CAM1_H2</v>
      </c>
      <c r="E14" s="15"/>
      <c r="F14" s="15"/>
      <c r="G14" s="15"/>
      <c r="H14" s="15"/>
      <c r="I14" s="15"/>
      <c r="J14" s="15"/>
      <c r="K14" s="16"/>
      <c r="O14" s="49" t="s">
        <v>7</v>
      </c>
      <c r="P14" s="1" t="s">
        <v>13</v>
      </c>
      <c r="Q14" s="49" t="s">
        <v>28</v>
      </c>
      <c r="S14" s="48" t="s">
        <v>29</v>
      </c>
      <c r="V14" s="49" t="s">
        <v>7</v>
      </c>
    </row>
    <row r="15" spans="1:22" ht="12.75" customHeight="1">
      <c r="A15" s="5"/>
      <c r="B15" s="3"/>
      <c r="C15" s="5"/>
      <c r="D15" s="12" t="s">
        <v>24</v>
      </c>
      <c r="E15" s="18"/>
      <c r="F15" s="18"/>
      <c r="G15" s="18"/>
      <c r="H15" s="18"/>
      <c r="I15" s="18"/>
      <c r="J15" s="18"/>
      <c r="K15" s="19"/>
      <c r="O15" s="49" t="s">
        <v>8</v>
      </c>
      <c r="P15" s="1" t="s">
        <v>0</v>
      </c>
      <c r="Q15" s="49" t="s">
        <v>29</v>
      </c>
      <c r="S15" s="48" t="s">
        <v>32</v>
      </c>
      <c r="V15" s="49" t="s">
        <v>8</v>
      </c>
    </row>
    <row r="16" spans="1:22" ht="12.75" customHeight="1">
      <c r="A16" s="5"/>
      <c r="B16" s="5"/>
      <c r="C16" s="5"/>
      <c r="D16" s="39" t="str">
        <f>"REFNYC_14"&amp;E$8&amp;"01_"&amp;B$24&amp;"_"&amp;C$24&amp;"_PGM_H1"</f>
        <v>REFNYC_140901_WAR_PAR_PGM_H1</v>
      </c>
      <c r="E16" s="15"/>
      <c r="F16" s="15"/>
      <c r="G16" s="15"/>
      <c r="H16" s="15"/>
      <c r="I16" s="15"/>
      <c r="J16" s="15"/>
      <c r="K16" s="16"/>
      <c r="O16" s="49" t="s">
        <v>15</v>
      </c>
      <c r="P16" s="1" t="s">
        <v>14</v>
      </c>
      <c r="Q16" s="49" t="s">
        <v>43</v>
      </c>
      <c r="S16" s="48" t="s">
        <v>43</v>
      </c>
      <c r="V16" s="49" t="s">
        <v>15</v>
      </c>
    </row>
    <row r="17" spans="1:22" ht="12.75" customHeight="1">
      <c r="A17" s="5"/>
      <c r="B17" s="5"/>
      <c r="C17" s="5"/>
      <c r="D17" s="39" t="str">
        <f>"REFNYC_14"&amp;E$8&amp;"01_"&amp;B$24&amp;"_"&amp;C$24&amp;"_PGM_H2"</f>
        <v>REFNYC_140901_WAR_PAR_PGM_H2</v>
      </c>
      <c r="E17" s="15"/>
      <c r="F17" s="15"/>
      <c r="G17" s="15"/>
      <c r="H17" s="15"/>
      <c r="I17" s="15"/>
      <c r="J17" s="15"/>
      <c r="K17" s="16"/>
      <c r="V17" s="49" t="s">
        <v>33</v>
      </c>
    </row>
    <row r="18" spans="1:22" ht="12.75" customHeight="1">
      <c r="A18" s="5"/>
      <c r="B18" s="5"/>
      <c r="C18" s="5"/>
      <c r="D18" s="12" t="s">
        <v>25</v>
      </c>
      <c r="E18" s="18"/>
      <c r="F18" s="18"/>
      <c r="G18" s="18"/>
      <c r="H18" s="18"/>
      <c r="I18" s="18"/>
      <c r="J18" s="18"/>
      <c r="K18" s="19"/>
      <c r="V18" s="49" t="s">
        <v>42</v>
      </c>
    </row>
    <row r="19" spans="1:22" ht="12.75" customHeight="1">
      <c r="A19" s="5"/>
      <c r="B19" s="5"/>
      <c r="C19" s="5"/>
      <c r="D19" s="39" t="str">
        <f>"REFNYC_14"&amp;E$8&amp;"01_"&amp;B$24&amp;"_"&amp;C$24&amp;"_CAM1_H1"</f>
        <v>REFNYC_140901_WAR_PAR_CAM1_H1</v>
      </c>
      <c r="E19" s="15"/>
      <c r="F19" s="15"/>
      <c r="G19" s="15"/>
      <c r="H19" s="15"/>
      <c r="I19" s="15"/>
      <c r="J19" s="15"/>
      <c r="K19" s="16"/>
      <c r="V19" s="49" t="s">
        <v>39</v>
      </c>
    </row>
    <row r="20" spans="1:22" ht="12.75" customHeight="1">
      <c r="A20" s="5"/>
      <c r="B20" s="5"/>
      <c r="C20" s="5"/>
      <c r="D20" s="39" t="str">
        <f>"REFNYC_14"&amp;E$8&amp;"01_"&amp;B$24&amp;"_"&amp;C$24&amp;"_CAM1_H2"</f>
        <v>REFNYC_140901_WAR_PAR_CAM1_H2</v>
      </c>
      <c r="E20" s="15"/>
      <c r="F20" s="15"/>
      <c r="G20" s="15"/>
      <c r="H20" s="15"/>
      <c r="I20" s="15"/>
      <c r="J20" s="15"/>
      <c r="K20" s="16"/>
      <c r="V20" s="49" t="s">
        <v>35</v>
      </c>
    </row>
    <row r="21" spans="1:22" ht="12.6" customHeight="1">
      <c r="A21" s="5"/>
      <c r="B21" s="5"/>
      <c r="C21" s="5"/>
      <c r="D21" s="20"/>
      <c r="E21" s="4"/>
      <c r="F21" s="4"/>
      <c r="G21" s="4"/>
      <c r="H21" s="4"/>
      <c r="I21" s="4"/>
      <c r="J21" s="4"/>
      <c r="K21" s="4"/>
      <c r="V21" s="49" t="s">
        <v>44</v>
      </c>
    </row>
    <row r="22" spans="1:22" ht="12.75" customHeight="1">
      <c r="A22" s="53" t="s">
        <v>26</v>
      </c>
      <c r="B22" s="53" t="s">
        <v>9</v>
      </c>
      <c r="C22" s="53" t="s">
        <v>12</v>
      </c>
      <c r="D22" s="12" t="s">
        <v>22</v>
      </c>
      <c r="E22" s="21"/>
      <c r="F22" s="21"/>
      <c r="G22" s="21"/>
      <c r="H22" s="21"/>
      <c r="I22" s="21"/>
      <c r="J22" s="21"/>
      <c r="K22" s="22"/>
      <c r="V22" s="49" t="s">
        <v>41</v>
      </c>
    </row>
    <row r="23" spans="1:22" ht="12.75" customHeight="1">
      <c r="A23" s="56"/>
      <c r="B23" s="56"/>
      <c r="C23" s="57"/>
      <c r="D23" s="41" t="str">
        <f>"NRL_14"&amp;E$8&amp;"01_"&amp;B$24&amp;"_"&amp;C$24&amp;"_PGM_H1"</f>
        <v>NRL_140901_WAR_PAR_PGM_H1</v>
      </c>
      <c r="E23" s="15"/>
      <c r="F23" s="15"/>
      <c r="G23" s="15"/>
      <c r="H23" s="15"/>
      <c r="I23" s="15"/>
      <c r="J23" s="15"/>
      <c r="K23" s="24"/>
      <c r="V23" s="49" t="s">
        <v>31</v>
      </c>
    </row>
    <row r="24" spans="1:22" ht="12.75" customHeight="1">
      <c r="A24" s="43" t="s">
        <v>30</v>
      </c>
      <c r="B24" s="8" t="s">
        <v>32</v>
      </c>
      <c r="C24" s="8" t="s">
        <v>38</v>
      </c>
      <c r="D24" s="44" t="str">
        <f>"NRL_14"&amp;E$8&amp;"01_"&amp;B$24&amp;"_"&amp;C$24&amp;"_PGM_H2"</f>
        <v>NRL_140901_WAR_PAR_PGM_H2</v>
      </c>
      <c r="E24" s="15"/>
      <c r="F24" s="15"/>
      <c r="G24" s="15"/>
      <c r="H24" s="15"/>
      <c r="I24" s="15"/>
      <c r="J24" s="15"/>
      <c r="K24" s="25"/>
      <c r="V24" s="49" t="s">
        <v>32</v>
      </c>
    </row>
    <row r="25" spans="1:22" ht="12.75" customHeight="1">
      <c r="A25" s="5"/>
      <c r="D25" s="12" t="s">
        <v>23</v>
      </c>
      <c r="E25" s="18"/>
      <c r="F25" s="18"/>
      <c r="G25" s="18"/>
      <c r="H25" s="18"/>
      <c r="I25" s="18"/>
      <c r="J25" s="18"/>
      <c r="K25" s="19"/>
      <c r="V25" s="49" t="s">
        <v>40</v>
      </c>
    </row>
    <row r="26" spans="1:22" ht="12.75" customHeight="1">
      <c r="A26" s="5"/>
      <c r="D26" s="41" t="str">
        <f>"NRL_14"&amp;E$8&amp;"01_"&amp;B$24&amp;"_"&amp;C$24&amp;"_CAM1_H1"</f>
        <v>NRL_140901_WAR_PAR_CAM1_H1</v>
      </c>
      <c r="E26" s="15"/>
      <c r="F26" s="15"/>
      <c r="G26" s="15"/>
      <c r="H26" s="15"/>
      <c r="I26" s="15"/>
      <c r="J26" s="15"/>
      <c r="K26" s="25"/>
      <c r="V26" s="49" t="s">
        <v>37</v>
      </c>
    </row>
    <row r="27" spans="1:22" ht="12.75" customHeight="1">
      <c r="A27" s="5"/>
      <c r="C27" s="5"/>
      <c r="D27" s="41" t="str">
        <f>"NRL_14"&amp;E$8&amp;"01_"&amp;B$24&amp;"_"&amp;C$24&amp;"_CAM1_H2"</f>
        <v>NRL_140901_WAR_PAR_CAM1_H2</v>
      </c>
      <c r="E27" s="15"/>
      <c r="F27" s="15"/>
      <c r="G27" s="15"/>
      <c r="H27" s="15"/>
      <c r="I27" s="15"/>
      <c r="J27" s="15"/>
      <c r="K27" s="25"/>
      <c r="V27" s="49" t="s">
        <v>38</v>
      </c>
    </row>
    <row r="28" spans="1:22" ht="12.75" customHeight="1">
      <c r="A28" s="5"/>
      <c r="C28" s="5"/>
      <c r="D28" s="12" t="s">
        <v>24</v>
      </c>
      <c r="E28" s="18"/>
      <c r="F28" s="18"/>
      <c r="G28" s="18"/>
      <c r="H28" s="18"/>
      <c r="I28" s="18"/>
      <c r="J28" s="18"/>
      <c r="K28" s="19"/>
      <c r="V28" s="49" t="s">
        <v>36</v>
      </c>
    </row>
    <row r="29" spans="1:22" ht="12.75" customHeight="1">
      <c r="A29" s="5"/>
      <c r="B29" s="26"/>
      <c r="C29" s="5"/>
      <c r="D29" s="42" t="str">
        <f>"REFNRL_14"&amp;E$8&amp;"01_"&amp;B$24&amp;"_"&amp;C$24&amp;"_PGM_H1"</f>
        <v>REFNRL_140901_WAR_PAR_PGM_H1</v>
      </c>
      <c r="E29" s="15"/>
      <c r="F29" s="15"/>
      <c r="G29" s="15"/>
      <c r="H29" s="15"/>
      <c r="I29" s="27"/>
      <c r="J29" s="27"/>
      <c r="K29" s="25"/>
      <c r="V29" s="49" t="s">
        <v>34</v>
      </c>
    </row>
    <row r="30" spans="1:22" ht="12.75" customHeight="1">
      <c r="A30" s="5"/>
      <c r="B30" s="4"/>
      <c r="C30" s="5"/>
      <c r="D30" s="42" t="str">
        <f>"REFNRL_14"&amp;E$8&amp;"01_"&amp;B$24&amp;"_"&amp;C$24&amp;"_PGM_H2"</f>
        <v>REFNRL_140901_WAR_PAR_PGM_H2</v>
      </c>
      <c r="E30" s="15"/>
      <c r="F30" s="15"/>
      <c r="G30" s="15"/>
      <c r="H30" s="15"/>
      <c r="I30" s="27"/>
      <c r="J30" s="27"/>
      <c r="K30" s="25"/>
      <c r="V30" s="49" t="s">
        <v>28</v>
      </c>
    </row>
    <row r="31" spans="1:22" ht="12.75" customHeight="1">
      <c r="A31" s="5"/>
      <c r="B31" s="5"/>
      <c r="C31" s="5"/>
      <c r="D31" s="12" t="s">
        <v>25</v>
      </c>
      <c r="E31" s="18"/>
      <c r="F31" s="18"/>
      <c r="G31" s="18"/>
      <c r="H31" s="27"/>
      <c r="I31" s="27"/>
      <c r="J31" s="27"/>
      <c r="K31" s="25"/>
      <c r="L31" s="23"/>
      <c r="M31" s="23"/>
      <c r="N31" s="23"/>
      <c r="V31" s="49" t="s">
        <v>29</v>
      </c>
    </row>
    <row r="32" spans="1:22" ht="12.75" customHeight="1">
      <c r="A32" s="5"/>
      <c r="B32" s="26"/>
      <c r="C32" s="5"/>
      <c r="D32" s="42" t="str">
        <f>"REFNRL_14"&amp;E$8&amp;"01_"&amp;B$24&amp;"_"&amp;C$24&amp;"_CAM1_H1"</f>
        <v>REFNRL_140901_WAR_PAR_CAM1_H1</v>
      </c>
      <c r="E32" s="15"/>
      <c r="F32" s="15"/>
      <c r="G32" s="15"/>
      <c r="H32" s="15"/>
      <c r="I32" s="27"/>
      <c r="J32" s="27"/>
      <c r="K32" s="25"/>
      <c r="V32" s="49" t="s">
        <v>43</v>
      </c>
    </row>
    <row r="33" spans="1:11" ht="12.75" customHeight="1">
      <c r="A33" s="5"/>
      <c r="B33" s="4"/>
      <c r="C33" s="5"/>
      <c r="D33" s="42" t="str">
        <f>"REFNRL_14"&amp;E$8&amp;"01_"&amp;B$24&amp;"_"&amp;C$24&amp;"_CAM1_H2"</f>
        <v>REFNRL_140901_WAR_PAR_CAM1_H2</v>
      </c>
      <c r="E33" s="15"/>
      <c r="F33" s="15"/>
      <c r="G33" s="15"/>
      <c r="H33" s="15"/>
      <c r="I33" s="27"/>
      <c r="J33" s="27"/>
      <c r="K33" s="25"/>
    </row>
    <row r="34" spans="1:11" ht="12.75" customHeight="1">
      <c r="A34" s="7"/>
      <c r="B34" s="7"/>
      <c r="C34" s="7"/>
    </row>
    <row r="35" spans="1:11" ht="12.75" customHeight="1">
      <c r="A35" s="5"/>
      <c r="B35" s="5"/>
      <c r="C35" s="5"/>
      <c r="D35" s="5"/>
    </row>
    <row r="36" spans="1:11" ht="3.6" customHeight="1">
      <c r="A36" s="51" t="s">
        <v>27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</row>
    <row r="37" spans="1:11" ht="12.6" customHeight="1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</row>
    <row r="38" spans="1:11" ht="39" customHeight="1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</row>
    <row r="39" spans="1:11" ht="18.75" customHeight="1">
      <c r="A39" s="52" t="s">
        <v>16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</row>
    <row r="40" spans="1:11" ht="12.75" customHeight="1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</row>
    <row r="41" spans="1:11" ht="12.75" customHeight="1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</row>
    <row r="42" spans="1:11" ht="12.75" customHeight="1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</row>
    <row r="43" spans="1:11" ht="12.75" customHeight="1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</row>
    <row r="44" spans="1:11" ht="12.75" customHeight="1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</row>
    <row r="45" spans="1:11" ht="12.75" customHeight="1">
      <c r="A45" s="7"/>
      <c r="B45" s="7"/>
      <c r="C45" s="7"/>
    </row>
    <row r="46" spans="1:11" ht="12.75" customHeight="1">
      <c r="A46" s="28" t="s">
        <v>17</v>
      </c>
      <c r="B46" s="29" t="s">
        <v>18</v>
      </c>
      <c r="C46" s="29" t="s">
        <v>19</v>
      </c>
      <c r="D46" s="4"/>
    </row>
    <row r="47" spans="1:11" ht="12.75" customHeight="1">
      <c r="A47" s="53" t="s">
        <v>21</v>
      </c>
      <c r="B47" s="53" t="str">
        <f>B$60&amp;" U20"</f>
        <v>Canberra Raiders U20</v>
      </c>
      <c r="C47" s="53" t="str">
        <f>C$60&amp;" U20"</f>
        <v>Gold Coast Titans U20</v>
      </c>
      <c r="D47" s="30" t="s">
        <v>22</v>
      </c>
      <c r="E47" s="31"/>
      <c r="F47" s="31"/>
      <c r="G47" s="31"/>
      <c r="H47" s="31"/>
      <c r="I47" s="31"/>
      <c r="J47" s="31"/>
      <c r="K47" s="32"/>
    </row>
    <row r="48" spans="1:11" ht="12.75" customHeight="1">
      <c r="A48" s="54"/>
      <c r="B48" s="54"/>
      <c r="C48" s="54"/>
      <c r="D48" s="45" t="str">
        <f>"NYC_14"&amp;E$8&amp;"02_"&amp;B$62&amp;"_"&amp;C$62&amp;"_PGM_H1"</f>
        <v>NYC_140902_CAN_GOL_PGM_H1</v>
      </c>
      <c r="E48" s="15"/>
      <c r="F48" s="15"/>
      <c r="G48" s="15"/>
      <c r="H48" s="15"/>
      <c r="I48" s="15"/>
      <c r="J48" s="15"/>
      <c r="K48" s="25"/>
    </row>
    <row r="49" spans="1:11" ht="12.75" customHeight="1">
      <c r="A49" s="5"/>
      <c r="B49" s="5"/>
      <c r="C49" s="5"/>
      <c r="D49" s="45" t="str">
        <f>"NYC_14"&amp;E$8&amp;"02_"&amp;B$62&amp;"_"&amp;C$62&amp;"_PGM_H2"</f>
        <v>NYC_140902_CAN_GOL_PGM_H2</v>
      </c>
      <c r="E49" s="15"/>
      <c r="F49" s="15"/>
      <c r="G49" s="15"/>
      <c r="H49" s="15"/>
      <c r="I49" s="15"/>
      <c r="J49" s="15"/>
      <c r="K49" s="25"/>
    </row>
    <row r="50" spans="1:11" ht="12.75" customHeight="1">
      <c r="A50" s="5"/>
      <c r="B50" s="5"/>
      <c r="C50" s="5"/>
      <c r="D50" s="17" t="s">
        <v>23</v>
      </c>
      <c r="E50" s="18"/>
      <c r="F50" s="18"/>
      <c r="G50" s="18"/>
      <c r="H50" s="18"/>
      <c r="I50" s="18"/>
      <c r="J50" s="18"/>
      <c r="K50" s="19"/>
    </row>
    <row r="51" spans="1:11" ht="12.75" customHeight="1">
      <c r="A51" s="5"/>
      <c r="B51" s="5"/>
      <c r="C51" s="5"/>
      <c r="D51" s="45" t="str">
        <f>"NYC_14"&amp;E$8&amp;"02_"&amp;B$62&amp;"_"&amp;C$62&amp;"_CAM1_H1"</f>
        <v>NYC_140902_CAN_GOL_CAM1_H1</v>
      </c>
      <c r="E51" s="15"/>
      <c r="F51" s="15"/>
      <c r="G51" s="15"/>
      <c r="H51" s="15"/>
      <c r="I51" s="15"/>
      <c r="J51" s="15"/>
      <c r="K51" s="25"/>
    </row>
    <row r="52" spans="1:11" ht="12.75" customHeight="1">
      <c r="A52" s="5"/>
      <c r="B52" s="33"/>
      <c r="C52" s="5"/>
      <c r="D52" s="45" t="str">
        <f>"NYC_14"&amp;E$8&amp;"02_"&amp;B$62&amp;"_"&amp;C$62&amp;"_CAM1_H2"</f>
        <v>NYC_140902_CAN_GOL_CAM1_H2</v>
      </c>
      <c r="E52" s="15"/>
      <c r="F52" s="15"/>
      <c r="G52" s="15"/>
      <c r="H52" s="15"/>
      <c r="I52" s="15"/>
      <c r="J52" s="15"/>
      <c r="K52" s="25"/>
    </row>
    <row r="53" spans="1:11" ht="12.75" customHeight="1">
      <c r="A53" s="5"/>
      <c r="B53" s="5"/>
      <c r="C53" s="5"/>
      <c r="D53" s="17" t="s">
        <v>24</v>
      </c>
      <c r="E53" s="18"/>
      <c r="F53" s="18"/>
      <c r="G53" s="18"/>
      <c r="H53" s="18"/>
      <c r="I53" s="18"/>
      <c r="J53" s="18"/>
      <c r="K53" s="19"/>
    </row>
    <row r="54" spans="1:11" ht="12.75" customHeight="1">
      <c r="A54" s="5"/>
      <c r="B54" s="5"/>
      <c r="C54" s="5"/>
      <c r="D54" s="45" t="str">
        <f>"REFNYC_14"&amp;E$8&amp;"02_"&amp;B$62&amp;"_"&amp;C$62&amp;"_PGM_H1"</f>
        <v>REFNYC_140902_CAN_GOL_PGM_H1</v>
      </c>
      <c r="E54" s="15"/>
      <c r="F54" s="15"/>
      <c r="G54" s="15"/>
      <c r="H54" s="15"/>
      <c r="I54" s="15"/>
      <c r="J54" s="15"/>
      <c r="K54" s="25"/>
    </row>
    <row r="55" spans="1:11" ht="12.75" customHeight="1">
      <c r="A55" s="5"/>
      <c r="B55" s="5"/>
      <c r="C55" s="5"/>
      <c r="D55" s="45" t="str">
        <f>"REFNYC_14"&amp;E$8&amp;"02_"&amp;B$62&amp;"_"&amp;C$62&amp;"_PGM_H2"</f>
        <v>REFNYC_140902_CAN_GOL_PGM_H2</v>
      </c>
      <c r="E55" s="15"/>
      <c r="F55" s="15"/>
      <c r="G55" s="15"/>
      <c r="H55" s="15"/>
      <c r="I55" s="15"/>
      <c r="J55" s="15"/>
      <c r="K55" s="25"/>
    </row>
    <row r="56" spans="1:11" ht="12.75" customHeight="1">
      <c r="A56" s="5"/>
      <c r="B56" s="5"/>
      <c r="C56" s="5"/>
      <c r="D56" s="17" t="s">
        <v>25</v>
      </c>
      <c r="E56" s="18"/>
      <c r="F56" s="18"/>
      <c r="G56" s="18"/>
      <c r="H56" s="18"/>
      <c r="I56" s="18"/>
      <c r="J56" s="18"/>
      <c r="K56" s="19"/>
    </row>
    <row r="57" spans="1:11" ht="12.75" customHeight="1">
      <c r="A57" s="5"/>
      <c r="B57" s="5"/>
      <c r="C57" s="5"/>
      <c r="D57" s="45" t="str">
        <f>"REFNYC_14"&amp;E$8&amp;"02_"&amp;B$62&amp;"_"&amp;C$62&amp;"_CAM1_H1"</f>
        <v>REFNYC_140902_CAN_GOL_CAM1_H1</v>
      </c>
      <c r="E57" s="15"/>
      <c r="F57" s="15"/>
      <c r="G57" s="15"/>
      <c r="H57" s="15"/>
      <c r="I57" s="15"/>
      <c r="J57" s="15"/>
      <c r="K57" s="25"/>
    </row>
    <row r="58" spans="1:11" ht="12.75" customHeight="1">
      <c r="A58" s="5"/>
      <c r="B58" s="5"/>
      <c r="C58" s="5"/>
      <c r="D58" s="45" t="str">
        <f>"REFNYC_14"&amp;E$8&amp;"02_"&amp;B$62&amp;"_"&amp;C$62&amp;"_CAM1_H2"</f>
        <v>REFNYC_140902_CAN_GOL_CAM1_H2</v>
      </c>
      <c r="E58" s="15"/>
      <c r="F58" s="15"/>
      <c r="G58" s="15"/>
      <c r="H58" s="15"/>
      <c r="I58" s="15"/>
      <c r="J58" s="15"/>
      <c r="K58" s="25"/>
    </row>
    <row r="59" spans="1:11" ht="12.75" customHeight="1">
      <c r="A59" s="5"/>
      <c r="B59" s="5"/>
      <c r="C59" s="5"/>
      <c r="D59" s="20"/>
      <c r="E59" s="4"/>
      <c r="F59" s="4"/>
      <c r="G59" s="4"/>
      <c r="H59" s="4"/>
      <c r="I59" s="4"/>
      <c r="J59" s="4"/>
      <c r="K59" s="4"/>
    </row>
    <row r="60" spans="1:11" ht="12.75" customHeight="1">
      <c r="A60" s="53" t="s">
        <v>26</v>
      </c>
      <c r="B60" s="53" t="s">
        <v>1</v>
      </c>
      <c r="C60" s="53" t="s">
        <v>4</v>
      </c>
      <c r="D60" s="30" t="s">
        <v>22</v>
      </c>
      <c r="E60" s="34"/>
      <c r="F60" s="34"/>
      <c r="G60" s="34"/>
      <c r="H60" s="34"/>
      <c r="I60" s="34"/>
      <c r="J60" s="34"/>
      <c r="K60" s="35"/>
    </row>
    <row r="61" spans="1:11" ht="12.75" customHeight="1">
      <c r="A61" s="54"/>
      <c r="B61" s="54"/>
      <c r="C61" s="54"/>
      <c r="D61" s="45" t="str">
        <f>"NRL_14"&amp;E$8&amp;"02_"&amp;B$62&amp;"_"&amp;C$62&amp;"_PGM_H1"</f>
        <v>NRL_140902_CAN_GOL_PGM_H1</v>
      </c>
      <c r="E61" s="15"/>
      <c r="F61" s="15"/>
      <c r="G61" s="15"/>
      <c r="H61" s="15"/>
      <c r="I61" s="15"/>
      <c r="J61" s="27"/>
      <c r="K61" s="25"/>
    </row>
    <row r="62" spans="1:11" ht="12.75" customHeight="1">
      <c r="A62" s="43" t="s">
        <v>30</v>
      </c>
      <c r="B62" s="8" t="s">
        <v>42</v>
      </c>
      <c r="C62" s="8" t="s">
        <v>44</v>
      </c>
      <c r="D62" s="45" t="str">
        <f>"NRL_14"&amp;E$8&amp;"02_"&amp;B$62&amp;"_"&amp;C$62&amp;"_PGM_H2"</f>
        <v>NRL_140902_CAN_GOL_PGM_H2</v>
      </c>
      <c r="E62" s="15"/>
      <c r="F62" s="15"/>
      <c r="G62" s="15"/>
      <c r="H62" s="15"/>
      <c r="I62" s="15"/>
      <c r="J62" s="27"/>
      <c r="K62" s="25"/>
    </row>
    <row r="63" spans="1:11" ht="12.75" customHeight="1">
      <c r="A63" s="5"/>
      <c r="B63" s="5"/>
      <c r="C63" s="5"/>
      <c r="D63" s="47" t="s">
        <v>23</v>
      </c>
      <c r="E63" s="18"/>
      <c r="F63" s="18"/>
      <c r="G63" s="18"/>
      <c r="H63" s="18"/>
      <c r="I63" s="18"/>
      <c r="J63" s="18"/>
      <c r="K63" s="19"/>
    </row>
    <row r="64" spans="1:11" ht="12.75" customHeight="1">
      <c r="A64" s="5"/>
      <c r="B64" s="5"/>
      <c r="C64" s="5"/>
      <c r="D64" s="45" t="str">
        <f>"NRL_14"&amp;E$8&amp;"02_"&amp;B$62&amp;"_"&amp;C$62&amp;"_CAM1_H1"</f>
        <v>NRL_140902_CAN_GOL_CAM1_H1</v>
      </c>
      <c r="E64" s="15"/>
      <c r="F64" s="15"/>
      <c r="G64" s="15"/>
      <c r="H64" s="15"/>
      <c r="I64" s="15"/>
      <c r="J64" s="27"/>
      <c r="K64" s="25"/>
    </row>
    <row r="65" spans="1:11" ht="12.75" customHeight="1">
      <c r="A65" s="5"/>
      <c r="B65" s="5"/>
      <c r="C65" s="5"/>
      <c r="D65" s="45" t="str">
        <f>"NRL_14"&amp;E$8&amp;"02_"&amp;B$62&amp;"_"&amp;C$62&amp;"_CAM1_H2"</f>
        <v>NRL_140902_CAN_GOL_CAM1_H2</v>
      </c>
      <c r="E65" s="15"/>
      <c r="F65" s="15"/>
      <c r="G65" s="15"/>
      <c r="H65" s="15"/>
      <c r="I65" s="15"/>
      <c r="J65" s="27"/>
      <c r="K65" s="25"/>
    </row>
    <row r="66" spans="1:11" ht="12.75" customHeight="1">
      <c r="A66" s="5"/>
      <c r="B66" s="5"/>
      <c r="C66" s="5"/>
      <c r="D66" s="17" t="s">
        <v>24</v>
      </c>
      <c r="E66" s="18"/>
      <c r="F66" s="18"/>
      <c r="G66" s="18"/>
      <c r="H66" s="18"/>
      <c r="I66" s="18"/>
      <c r="J66" s="18"/>
      <c r="K66" s="19"/>
    </row>
    <row r="67" spans="1:11" ht="12.75" customHeight="1">
      <c r="A67" s="5"/>
      <c r="B67" s="26"/>
      <c r="C67" s="5"/>
      <c r="D67" s="45" t="str">
        <f>"REFNRL_14"&amp;E$8&amp;"02_"&amp;B$62&amp;"_"&amp;C$62&amp;"_PGM_H1"</f>
        <v>REFNRL_140902_CAN_GOL_PGM_H1</v>
      </c>
      <c r="E67" s="15"/>
      <c r="F67" s="15"/>
      <c r="G67" s="15"/>
      <c r="H67" s="15"/>
      <c r="I67" s="27"/>
      <c r="J67" s="27"/>
      <c r="K67" s="25"/>
    </row>
    <row r="68" spans="1:11" ht="12.75" customHeight="1">
      <c r="A68" s="5"/>
      <c r="B68" s="4"/>
      <c r="C68" s="5"/>
      <c r="D68" s="45" t="str">
        <f>"REFNRL_14"&amp;E$8&amp;"02_"&amp;B$62&amp;"_"&amp;C$62&amp;"_PGM_H2"</f>
        <v>REFNRL_140902_CAN_GOL_PGM_H2</v>
      </c>
      <c r="E68" s="15"/>
      <c r="F68" s="15"/>
      <c r="G68" s="15"/>
      <c r="H68" s="15"/>
      <c r="I68" s="27"/>
      <c r="J68" s="27"/>
      <c r="K68" s="25"/>
    </row>
    <row r="69" spans="1:11" ht="12.75" customHeight="1">
      <c r="A69" s="5"/>
      <c r="B69" s="11"/>
      <c r="C69" s="5"/>
      <c r="D69" s="17" t="s">
        <v>25</v>
      </c>
      <c r="E69" s="18"/>
      <c r="F69" s="18"/>
      <c r="G69" s="18"/>
      <c r="H69" s="18"/>
      <c r="I69" s="18"/>
      <c r="J69" s="18"/>
      <c r="K69" s="19"/>
    </row>
    <row r="70" spans="1:11" ht="12.75" customHeight="1">
      <c r="A70" s="5"/>
      <c r="B70" s="26"/>
      <c r="C70" s="5"/>
      <c r="D70" s="45" t="str">
        <f>"REFNRL_14"&amp;E$8&amp;"02_"&amp;B$62&amp;"_"&amp;C$62&amp;"_CAM1_H1"</f>
        <v>REFNRL_140902_CAN_GOL_CAM1_H1</v>
      </c>
      <c r="E70" s="15"/>
      <c r="F70" s="15"/>
      <c r="G70" s="15"/>
      <c r="H70" s="15"/>
      <c r="I70" s="27"/>
      <c r="J70" s="27"/>
      <c r="K70" s="25"/>
    </row>
    <row r="71" spans="1:11" ht="12.75" customHeight="1">
      <c r="A71" s="5"/>
      <c r="B71" s="4"/>
      <c r="C71" s="5"/>
      <c r="D71" s="45" t="str">
        <f>"REFNRL_14"&amp;E$8&amp;"02_"&amp;B$62&amp;"_"&amp;C$62&amp;"_CAM1_H2"</f>
        <v>REFNRL_140902_CAN_GOL_CAM1_H2</v>
      </c>
      <c r="E71" s="15"/>
      <c r="F71" s="15"/>
      <c r="G71" s="15"/>
      <c r="H71" s="15"/>
      <c r="I71" s="27"/>
      <c r="J71" s="27"/>
      <c r="K71" s="25"/>
    </row>
    <row r="73" spans="1:11" ht="12.75" customHeight="1">
      <c r="A73" s="7"/>
      <c r="B73" s="7"/>
      <c r="C73" s="7"/>
    </row>
    <row r="74" spans="1:11" ht="3.6" customHeight="1">
      <c r="A74" s="51" t="s">
        <v>27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</row>
    <row r="75" spans="1:11" ht="12.6" customHeight="1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</row>
    <row r="76" spans="1:11" ht="39" customHeight="1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</row>
    <row r="77" spans="1:11" ht="12.6" customHeight="1">
      <c r="A77" s="52" t="s">
        <v>16</v>
      </c>
      <c r="B77" s="52"/>
      <c r="C77" s="52"/>
      <c r="D77" s="52"/>
      <c r="E77" s="52"/>
      <c r="F77" s="52"/>
      <c r="G77" s="52"/>
      <c r="H77" s="52"/>
      <c r="I77" s="52"/>
      <c r="J77" s="52"/>
      <c r="K77" s="52"/>
    </row>
    <row r="78" spans="1:11" ht="12.75" customHeight="1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</row>
    <row r="79" spans="1:11" ht="12.75" customHeight="1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</row>
    <row r="80" spans="1:11" ht="12.75" customHeight="1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</row>
    <row r="81" spans="1:11" ht="12.75" customHeight="1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</row>
    <row r="82" spans="1:11" ht="12.75" customHeight="1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</row>
    <row r="84" spans="1:11" ht="12.75" customHeight="1">
      <c r="A84" s="28" t="s">
        <v>17</v>
      </c>
      <c r="B84" s="29" t="s">
        <v>18</v>
      </c>
      <c r="C84" s="29" t="s">
        <v>19</v>
      </c>
      <c r="D84" s="4"/>
    </row>
    <row r="85" spans="1:11" ht="12.75" customHeight="1">
      <c r="A85" s="53" t="s">
        <v>21</v>
      </c>
      <c r="B85" s="53" t="str">
        <f>B$98&amp;" U20"</f>
        <v>Canberra Raiders U20</v>
      </c>
      <c r="C85" s="53" t="str">
        <f>C$98&amp;" U20"</f>
        <v>Canberra Raiders U20</v>
      </c>
      <c r="D85" s="36" t="s">
        <v>22</v>
      </c>
      <c r="E85" s="13"/>
      <c r="F85" s="13"/>
      <c r="G85" s="13"/>
      <c r="H85" s="13"/>
      <c r="I85" s="13"/>
      <c r="J85" s="13"/>
      <c r="K85" s="14"/>
    </row>
    <row r="86" spans="1:11" ht="12.75" customHeight="1">
      <c r="A86" s="54"/>
      <c r="B86" s="54"/>
      <c r="C86" s="54"/>
      <c r="D86" s="45" t="str">
        <f>"NYC_14"&amp;E$8&amp;"03_"&amp;B$100&amp;"_"&amp;C$100&amp;"_PGM_H1"</f>
        <v>NYC_140903_CAN_CAN_PGM_H1</v>
      </c>
      <c r="E86" s="15"/>
      <c r="F86" s="15"/>
      <c r="G86" s="15"/>
      <c r="H86" s="15"/>
      <c r="I86" s="15"/>
      <c r="J86" s="15"/>
      <c r="K86" s="16"/>
    </row>
    <row r="87" spans="1:11" ht="12.75" customHeight="1">
      <c r="A87" s="5"/>
      <c r="B87" s="5"/>
      <c r="C87" s="5"/>
      <c r="D87" s="45" t="str">
        <f>"NYC_14"&amp;E$8&amp;"03_"&amp;B$100&amp;"_"&amp;C$100&amp;"_PGM_H2"</f>
        <v>NYC_140903_CAN_CAN_PGM_H2</v>
      </c>
      <c r="E87" s="15"/>
      <c r="F87" s="15"/>
      <c r="G87" s="15"/>
      <c r="H87" s="15"/>
      <c r="I87" s="15"/>
      <c r="J87" s="15"/>
      <c r="K87" s="16"/>
    </row>
    <row r="88" spans="1:11" ht="12.75" customHeight="1">
      <c r="A88" s="5"/>
      <c r="B88" s="5"/>
      <c r="C88" s="5"/>
      <c r="D88" s="17" t="s">
        <v>23</v>
      </c>
      <c r="E88" s="18"/>
      <c r="F88" s="18"/>
      <c r="G88" s="18"/>
      <c r="H88" s="18"/>
      <c r="I88" s="18"/>
      <c r="J88" s="18"/>
      <c r="K88" s="19"/>
    </row>
    <row r="89" spans="1:11" ht="12.75" customHeight="1">
      <c r="A89" s="5"/>
      <c r="B89" s="5"/>
      <c r="C89" s="5"/>
      <c r="D89" s="45" t="str">
        <f>"NYC_14"&amp;E$8&amp;"03_"&amp;B$100&amp;"_"&amp;C$100&amp;"_CAM1_H1"</f>
        <v>NYC_140903_CAN_CAN_CAM1_H1</v>
      </c>
      <c r="E89" s="15"/>
      <c r="F89" s="15"/>
      <c r="G89" s="15"/>
      <c r="H89" s="15"/>
      <c r="I89" s="15"/>
      <c r="J89" s="15"/>
      <c r="K89" s="16"/>
    </row>
    <row r="90" spans="1:11" ht="12.75" customHeight="1">
      <c r="A90" s="5"/>
      <c r="B90" s="33"/>
      <c r="C90" s="5"/>
      <c r="D90" s="45" t="str">
        <f>"NYC_14"&amp;E$8&amp;"03_"&amp;B$100&amp;"_"&amp;C$100&amp;"_CAM1_H2"</f>
        <v>NYC_140903_CAN_CAN_CAM1_H2</v>
      </c>
      <c r="E90" s="15"/>
      <c r="F90" s="15"/>
      <c r="G90" s="15"/>
      <c r="H90" s="15"/>
      <c r="I90" s="15"/>
      <c r="J90" s="15"/>
      <c r="K90" s="16"/>
    </row>
    <row r="91" spans="1:11" ht="12.75" customHeight="1">
      <c r="A91" s="5"/>
      <c r="B91" s="5"/>
      <c r="C91" s="5"/>
      <c r="D91" s="17" t="s">
        <v>24</v>
      </c>
      <c r="E91" s="18"/>
      <c r="F91" s="18"/>
      <c r="G91" s="18"/>
      <c r="H91" s="18"/>
      <c r="I91" s="18"/>
      <c r="J91" s="18"/>
      <c r="K91" s="19"/>
    </row>
    <row r="92" spans="1:11" ht="12.75" customHeight="1">
      <c r="A92" s="5"/>
      <c r="B92" s="5"/>
      <c r="C92" s="5"/>
      <c r="D92" s="45" t="str">
        <f>"REFNYC_14"&amp;E$8&amp;"03_"&amp;B$100&amp;"_"&amp;C$100&amp;"_PGM_H1"</f>
        <v>REFNYC_140903_CAN_CAN_PGM_H1</v>
      </c>
      <c r="E92" s="15"/>
      <c r="F92" s="15"/>
      <c r="G92" s="15"/>
      <c r="H92" s="15"/>
      <c r="I92" s="15"/>
      <c r="J92" s="15"/>
      <c r="K92" s="16"/>
    </row>
    <row r="93" spans="1:11" ht="12.75" customHeight="1">
      <c r="A93" s="5"/>
      <c r="B93" s="5"/>
      <c r="C93" s="5"/>
      <c r="D93" s="45" t="str">
        <f>"REFNYC_14"&amp;E$8&amp;"03_"&amp;B$100&amp;"_"&amp;C$100&amp;"_PGM_H2"</f>
        <v>REFNYC_140903_CAN_CAN_PGM_H2</v>
      </c>
      <c r="E93" s="15"/>
      <c r="F93" s="15"/>
      <c r="G93" s="15"/>
      <c r="H93" s="15"/>
      <c r="I93" s="15"/>
      <c r="J93" s="15"/>
      <c r="K93" s="16"/>
    </row>
    <row r="94" spans="1:11" ht="12.75" customHeight="1">
      <c r="A94" s="5"/>
      <c r="B94" s="5"/>
      <c r="C94" s="5"/>
      <c r="D94" s="17" t="s">
        <v>25</v>
      </c>
      <c r="E94" s="18"/>
      <c r="F94" s="18"/>
      <c r="G94" s="18"/>
      <c r="H94" s="18"/>
      <c r="I94" s="18"/>
      <c r="J94" s="18"/>
      <c r="K94" s="19"/>
    </row>
    <row r="95" spans="1:11" ht="12.75" customHeight="1">
      <c r="A95" s="5"/>
      <c r="B95" s="5"/>
      <c r="C95" s="5"/>
      <c r="D95" s="45" t="str">
        <f>"REFNYC_14"&amp;E$8&amp;"03_"&amp;B$100&amp;"_"&amp;C$100&amp;"_CAM1_H1"</f>
        <v>REFNYC_140903_CAN_CAN_CAM1_H1</v>
      </c>
      <c r="E95" s="15"/>
      <c r="F95" s="15"/>
      <c r="G95" s="15"/>
      <c r="H95" s="15"/>
      <c r="I95" s="15"/>
      <c r="J95" s="15"/>
      <c r="K95" s="16"/>
    </row>
    <row r="96" spans="1:11" ht="12.75" customHeight="1">
      <c r="A96" s="5"/>
      <c r="B96" s="5"/>
      <c r="C96" s="5"/>
      <c r="D96" s="45" t="str">
        <f>"REFNYC_14"&amp;E$8&amp;"03_"&amp;B$100&amp;"_"&amp;C$100&amp;"_CAM1_H2"</f>
        <v>REFNYC_140903_CAN_CAN_CAM1_H2</v>
      </c>
      <c r="E96" s="15"/>
      <c r="F96" s="15"/>
      <c r="G96" s="15"/>
      <c r="H96" s="15"/>
      <c r="I96" s="15"/>
      <c r="J96" s="15"/>
      <c r="K96" s="16"/>
    </row>
    <row r="97" spans="1:11" ht="12.75" customHeight="1">
      <c r="A97" s="5"/>
      <c r="B97" s="5"/>
      <c r="C97" s="5"/>
      <c r="D97" s="20"/>
      <c r="E97" s="4"/>
      <c r="F97" s="4"/>
      <c r="G97" s="4"/>
      <c r="H97" s="4"/>
      <c r="I97" s="4"/>
      <c r="J97" s="4"/>
      <c r="K97" s="4"/>
    </row>
    <row r="98" spans="1:11" ht="12.75" customHeight="1">
      <c r="A98" s="53" t="s">
        <v>26</v>
      </c>
      <c r="B98" s="53" t="s">
        <v>1</v>
      </c>
      <c r="C98" s="53" t="s">
        <v>1</v>
      </c>
      <c r="D98" s="37" t="s">
        <v>22</v>
      </c>
      <c r="E98" s="21"/>
      <c r="F98" s="21"/>
      <c r="G98" s="21"/>
      <c r="H98" s="21"/>
      <c r="I98" s="21"/>
      <c r="J98" s="21"/>
      <c r="K98" s="22"/>
    </row>
    <row r="99" spans="1:11" ht="12.75" customHeight="1">
      <c r="A99" s="54"/>
      <c r="B99" s="54"/>
      <c r="C99" s="54"/>
      <c r="D99" s="45" t="str">
        <f>"NRL_14"&amp;E$8&amp;"03_"&amp;B$100&amp;"_"&amp;C$100&amp;"_PGM_H1"</f>
        <v>NRL_140903_CAN_CAN_PGM_H1</v>
      </c>
      <c r="E99" s="15"/>
      <c r="F99" s="15"/>
      <c r="G99" s="15"/>
      <c r="H99" s="15"/>
      <c r="I99" s="15"/>
      <c r="J99" s="15"/>
      <c r="K99" s="24"/>
    </row>
    <row r="100" spans="1:11" ht="12.75" customHeight="1">
      <c r="A100" s="43" t="s">
        <v>30</v>
      </c>
      <c r="B100" s="8" t="s">
        <v>42</v>
      </c>
      <c r="C100" s="8" t="s">
        <v>42</v>
      </c>
      <c r="D100" s="45" t="str">
        <f>"NRL_14"&amp;E$8&amp;"03_"&amp;B$100&amp;"_"&amp;C$100&amp;"_PGM_H2"</f>
        <v>NRL_140903_CAN_CAN_PGM_H2</v>
      </c>
      <c r="E100" s="15"/>
      <c r="F100" s="15"/>
      <c r="G100" s="15"/>
      <c r="H100" s="15"/>
      <c r="I100" s="15"/>
      <c r="J100" s="15"/>
      <c r="K100" s="25"/>
    </row>
    <row r="101" spans="1:11" ht="12.75" customHeight="1">
      <c r="A101" s="5"/>
      <c r="B101" s="5"/>
      <c r="C101" s="5"/>
      <c r="D101" s="17" t="s">
        <v>23</v>
      </c>
      <c r="E101" s="18"/>
      <c r="F101" s="18"/>
      <c r="G101" s="18"/>
      <c r="H101" s="18"/>
      <c r="I101" s="18"/>
      <c r="J101" s="18"/>
      <c r="K101" s="19"/>
    </row>
    <row r="102" spans="1:11" ht="12.75" customHeight="1">
      <c r="A102" s="5"/>
      <c r="B102" s="5"/>
      <c r="C102" s="5"/>
      <c r="D102" s="45" t="str">
        <f>"NRL_14"&amp;E$8&amp;"03_"&amp;B$100&amp;"_"&amp;C$100&amp;"_CAM1_H1"</f>
        <v>NRL_140903_CAN_CAN_CAM1_H1</v>
      </c>
      <c r="E102" s="15"/>
      <c r="F102" s="15"/>
      <c r="G102" s="15"/>
      <c r="H102" s="15"/>
      <c r="I102" s="15"/>
      <c r="J102" s="15"/>
      <c r="K102" s="25"/>
    </row>
    <row r="103" spans="1:11" ht="12.75" customHeight="1">
      <c r="A103" s="5"/>
      <c r="B103" s="5"/>
      <c r="C103" s="5"/>
      <c r="D103" s="45" t="str">
        <f>"NRL_14"&amp;E$8&amp;"03_"&amp;B$100&amp;"_"&amp;C$100&amp;"_CAM1_H2"</f>
        <v>NRL_140903_CAN_CAN_CAM1_H2</v>
      </c>
      <c r="E103" s="15"/>
      <c r="F103" s="15"/>
      <c r="G103" s="15"/>
      <c r="H103" s="15"/>
      <c r="I103" s="15"/>
      <c r="J103" s="15"/>
      <c r="K103" s="25"/>
    </row>
    <row r="104" spans="1:11" ht="12.75" customHeight="1">
      <c r="A104" s="5"/>
      <c r="B104" s="5"/>
      <c r="C104" s="5"/>
      <c r="D104" s="17" t="s">
        <v>24</v>
      </c>
      <c r="E104" s="18"/>
      <c r="F104" s="18"/>
      <c r="G104" s="18"/>
      <c r="H104" s="18"/>
      <c r="I104" s="18"/>
      <c r="J104" s="18"/>
      <c r="K104" s="19"/>
    </row>
    <row r="105" spans="1:11" ht="12.75" customHeight="1">
      <c r="A105" s="5"/>
      <c r="B105" s="26"/>
      <c r="C105" s="5"/>
      <c r="D105" s="45" t="str">
        <f>"REFNRL_14"&amp;E$8&amp;"03_"&amp;B$100&amp;"_"&amp;C$100&amp;"_PGM_H1"</f>
        <v>REFNRL_140903_CAN_CAN_PGM_H1</v>
      </c>
      <c r="E105" s="15"/>
      <c r="F105" s="15"/>
      <c r="G105" s="15"/>
      <c r="H105" s="15"/>
      <c r="I105" s="27"/>
      <c r="J105" s="27"/>
      <c r="K105" s="25"/>
    </row>
    <row r="106" spans="1:11" ht="12.75" customHeight="1">
      <c r="A106" s="5"/>
      <c r="B106" s="4"/>
      <c r="C106" s="5"/>
      <c r="D106" s="45" t="str">
        <f>"REFNRL_14"&amp;E$8&amp;"03_"&amp;B$100&amp;"_"&amp;C$100&amp;"_PGM_H2"</f>
        <v>REFNRL_140903_CAN_CAN_PGM_H2</v>
      </c>
      <c r="E106" s="15"/>
      <c r="F106" s="15"/>
      <c r="G106" s="15"/>
      <c r="H106" s="15"/>
      <c r="I106" s="27"/>
      <c r="J106" s="27"/>
      <c r="K106" s="25"/>
    </row>
    <row r="107" spans="1:11" ht="12.75" customHeight="1">
      <c r="A107" s="5"/>
      <c r="B107" s="11"/>
      <c r="C107" s="5"/>
      <c r="D107" s="17" t="s">
        <v>25</v>
      </c>
      <c r="E107" s="18"/>
      <c r="F107" s="18"/>
      <c r="G107" s="18"/>
      <c r="H107" s="18"/>
      <c r="I107" s="18"/>
      <c r="J107" s="18"/>
      <c r="K107" s="19"/>
    </row>
    <row r="108" spans="1:11" ht="12.75" customHeight="1">
      <c r="A108" s="5"/>
      <c r="B108" s="26"/>
      <c r="C108" s="5"/>
      <c r="D108" s="45" t="str">
        <f>"REFNRL_14"&amp;E$8&amp;"03_"&amp;B$100&amp;"_"&amp;C$100&amp;"_CAM1_H1"</f>
        <v>REFNRL_140903_CAN_CAN_CAM1_H1</v>
      </c>
      <c r="E108" s="15"/>
      <c r="F108" s="15"/>
      <c r="G108" s="15"/>
      <c r="H108" s="15"/>
      <c r="I108" s="27"/>
      <c r="J108" s="27"/>
      <c r="K108" s="25"/>
    </row>
    <row r="109" spans="1:11" ht="12.75" customHeight="1">
      <c r="A109" s="5"/>
      <c r="B109" s="4"/>
      <c r="C109" s="5"/>
      <c r="D109" s="45" t="str">
        <f>"REFNRL_14"&amp;E$8&amp;"03_"&amp;B$100&amp;"_"&amp;C$100&amp;"_CAM1_H2"</f>
        <v>REFNRL_140903_CAN_CAN_CAM1_H2</v>
      </c>
      <c r="E109" s="15"/>
      <c r="F109" s="15"/>
      <c r="G109" s="15"/>
      <c r="H109" s="15"/>
      <c r="I109" s="27"/>
      <c r="J109" s="27"/>
      <c r="K109" s="25"/>
    </row>
    <row r="110" spans="1:11">
      <c r="D110" s="38"/>
    </row>
    <row r="112" spans="1:11" ht="3.6" customHeight="1">
      <c r="A112" s="51" t="s">
        <v>27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</row>
    <row r="113" spans="1:11" ht="12.6" customHeight="1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</row>
    <row r="114" spans="1:11" ht="39" customHeight="1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</row>
    <row r="115" spans="1:11" ht="17.25" customHeight="1">
      <c r="A115" s="52" t="s">
        <v>16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</row>
    <row r="116" spans="1:11" ht="12.75" customHeight="1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</row>
    <row r="117" spans="1:11" ht="12.75" customHeight="1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</row>
    <row r="118" spans="1:11" ht="12.75" customHeight="1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</row>
    <row r="119" spans="1:11" ht="12.75" customHeight="1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</row>
    <row r="120" spans="1:11" ht="12.75" customHeight="1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</row>
    <row r="122" spans="1:11" ht="12.75" customHeight="1">
      <c r="A122" s="28" t="s">
        <v>17</v>
      </c>
      <c r="B122" s="29" t="s">
        <v>18</v>
      </c>
      <c r="C122" s="29" t="s">
        <v>19</v>
      </c>
      <c r="D122" s="4"/>
    </row>
    <row r="123" spans="1:11" ht="12.75" customHeight="1">
      <c r="A123" s="53" t="s">
        <v>21</v>
      </c>
      <c r="B123" s="53" t="str">
        <f>B$136&amp;" U20"</f>
        <v>Canberra Raiders U20</v>
      </c>
      <c r="C123" s="53" t="str">
        <f>C$136&amp;" U20"</f>
        <v>South Sydney Rabbitohs U20</v>
      </c>
      <c r="D123" s="30" t="s">
        <v>22</v>
      </c>
      <c r="E123" s="31"/>
      <c r="F123" s="31"/>
      <c r="G123" s="31"/>
      <c r="H123" s="31"/>
      <c r="I123" s="31"/>
      <c r="J123" s="31"/>
      <c r="K123" s="32"/>
    </row>
    <row r="124" spans="1:11" ht="12.75" customHeight="1">
      <c r="A124" s="54"/>
      <c r="B124" s="54"/>
      <c r="C124" s="54"/>
      <c r="D124" s="45" t="str">
        <f>"NYC_14"&amp;E$8&amp;"04_"&amp;B$138&amp;"_"&amp;C$138&amp;"_PGM_H1"</f>
        <v>NYC_140904_CAN_SOU_PGM_H1</v>
      </c>
      <c r="E124" s="15"/>
      <c r="F124" s="15"/>
      <c r="G124" s="15"/>
      <c r="H124" s="15"/>
      <c r="I124" s="15"/>
      <c r="J124" s="15"/>
      <c r="K124" s="16"/>
    </row>
    <row r="125" spans="1:11" ht="12.75" customHeight="1">
      <c r="A125" s="5"/>
      <c r="B125" s="5"/>
      <c r="C125" s="5"/>
      <c r="D125" s="45" t="str">
        <f>"NYC_14"&amp;E$8&amp;"04_"&amp;B$138&amp;"_"&amp;C$138&amp;"_PGM_H2"</f>
        <v>NYC_140904_CAN_SOU_PGM_H2</v>
      </c>
      <c r="E125" s="15"/>
      <c r="F125" s="15"/>
      <c r="G125" s="15"/>
      <c r="H125" s="15"/>
      <c r="I125" s="15"/>
      <c r="J125" s="15"/>
      <c r="K125" s="16"/>
    </row>
    <row r="126" spans="1:11" ht="12.75" customHeight="1">
      <c r="A126" s="5"/>
      <c r="B126" s="5"/>
      <c r="C126" s="5"/>
      <c r="D126" s="17" t="s">
        <v>23</v>
      </c>
      <c r="E126" s="18"/>
      <c r="F126" s="18"/>
      <c r="G126" s="18"/>
      <c r="H126" s="18"/>
      <c r="I126" s="18"/>
      <c r="J126" s="18"/>
      <c r="K126" s="19"/>
    </row>
    <row r="127" spans="1:11" ht="12.75" customHeight="1">
      <c r="A127" s="5"/>
      <c r="B127" s="5"/>
      <c r="C127" s="5"/>
      <c r="D127" s="45" t="str">
        <f>"NYC_14"&amp;E$8&amp;"04_"&amp;B$138&amp;"_"&amp;C$138&amp;"_CAM1_H1"</f>
        <v>NYC_140904_CAN_SOU_CAM1_H1</v>
      </c>
      <c r="E127" s="15"/>
      <c r="F127" s="15"/>
      <c r="G127" s="15"/>
      <c r="H127" s="15"/>
      <c r="I127" s="15"/>
      <c r="J127" s="15"/>
      <c r="K127" s="16"/>
    </row>
    <row r="128" spans="1:11" ht="12.75" customHeight="1">
      <c r="A128" s="5"/>
      <c r="B128" s="33"/>
      <c r="C128" s="5"/>
      <c r="D128" s="45" t="str">
        <f>"NYC_14"&amp;E$8&amp;"04_"&amp;B$138&amp;"_"&amp;C$138&amp;"_CAM1_H2"</f>
        <v>NYC_140904_CAN_SOU_CAM1_H2</v>
      </c>
      <c r="E128" s="15"/>
      <c r="F128" s="15"/>
      <c r="G128" s="15"/>
      <c r="H128" s="15"/>
      <c r="I128" s="15"/>
      <c r="J128" s="15"/>
      <c r="K128" s="16"/>
    </row>
    <row r="129" spans="1:11" ht="12.75" customHeight="1">
      <c r="A129" s="5"/>
      <c r="B129" s="5"/>
      <c r="C129" s="5"/>
      <c r="D129" s="17" t="s">
        <v>24</v>
      </c>
      <c r="E129" s="18"/>
      <c r="F129" s="18"/>
      <c r="G129" s="18"/>
      <c r="H129" s="18"/>
      <c r="I129" s="18"/>
      <c r="J129" s="18"/>
      <c r="K129" s="19"/>
    </row>
    <row r="130" spans="1:11" ht="12.75" customHeight="1">
      <c r="A130" s="5"/>
      <c r="B130" s="5"/>
      <c r="C130" s="5"/>
      <c r="D130" s="45" t="str">
        <f>"REFNYC_14"&amp;E$8&amp;"04_"&amp;B$138&amp;"_"&amp;C$138&amp;"_PGM_H1"</f>
        <v>REFNYC_140904_CAN_SOU_PGM_H1</v>
      </c>
      <c r="E130" s="15"/>
      <c r="F130" s="15"/>
      <c r="G130" s="15"/>
      <c r="H130" s="15"/>
      <c r="I130" s="15"/>
      <c r="J130" s="15"/>
      <c r="K130" s="16"/>
    </row>
    <row r="131" spans="1:11" ht="12.75" customHeight="1">
      <c r="A131" s="5"/>
      <c r="B131" s="5"/>
      <c r="C131" s="5"/>
      <c r="D131" s="45" t="str">
        <f>"REFNYC_14"&amp;E$8&amp;"04_"&amp;B$138&amp;"_"&amp;C$138&amp;"_PGM_H2"</f>
        <v>REFNYC_140904_CAN_SOU_PGM_H2</v>
      </c>
      <c r="E131" s="15"/>
      <c r="F131" s="15"/>
      <c r="G131" s="15"/>
      <c r="H131" s="15"/>
      <c r="I131" s="15"/>
      <c r="J131" s="15"/>
      <c r="K131" s="16"/>
    </row>
    <row r="132" spans="1:11" ht="12.75" customHeight="1">
      <c r="A132" s="5"/>
      <c r="B132" s="5"/>
      <c r="C132" s="5"/>
      <c r="D132" s="17" t="s">
        <v>25</v>
      </c>
      <c r="E132" s="18"/>
      <c r="F132" s="18"/>
      <c r="G132" s="18"/>
      <c r="H132" s="18"/>
      <c r="I132" s="18"/>
      <c r="J132" s="18"/>
      <c r="K132" s="19"/>
    </row>
    <row r="133" spans="1:11" ht="12.75" customHeight="1">
      <c r="A133" s="5"/>
      <c r="B133" s="5"/>
      <c r="C133" s="5"/>
      <c r="D133" s="45" t="str">
        <f>"REFNYC_14"&amp;E$8&amp;"04_"&amp;B$138&amp;"_"&amp;C$138&amp;"_CAM1_H1"</f>
        <v>REFNYC_140904_CAN_SOU_CAM1_H1</v>
      </c>
      <c r="E133" s="15"/>
      <c r="F133" s="15"/>
      <c r="G133" s="15"/>
      <c r="H133" s="15"/>
      <c r="I133" s="15"/>
      <c r="J133" s="15"/>
      <c r="K133" s="16"/>
    </row>
    <row r="134" spans="1:11" ht="12.75" customHeight="1">
      <c r="A134" s="5"/>
      <c r="B134" s="5"/>
      <c r="C134" s="5"/>
      <c r="D134" s="45" t="str">
        <f>"REFNYC_14"&amp;E$8&amp;"04_"&amp;B$138&amp;"_"&amp;C$138&amp;"_CAM1_H2"</f>
        <v>REFNYC_140904_CAN_SOU_CAM1_H2</v>
      </c>
      <c r="E134" s="15"/>
      <c r="F134" s="15"/>
      <c r="G134" s="15"/>
      <c r="H134" s="15"/>
      <c r="I134" s="15"/>
      <c r="J134" s="15"/>
      <c r="K134" s="16"/>
    </row>
    <row r="135" spans="1:11" ht="12.75" customHeight="1">
      <c r="A135" s="5"/>
      <c r="B135" s="5"/>
      <c r="C135" s="5"/>
      <c r="D135" s="20"/>
      <c r="E135" s="4"/>
      <c r="F135" s="4"/>
      <c r="G135" s="4"/>
      <c r="H135" s="4"/>
      <c r="I135" s="4"/>
      <c r="J135" s="4"/>
      <c r="K135" s="4"/>
    </row>
    <row r="136" spans="1:11" ht="12.75" customHeight="1">
      <c r="A136" s="53" t="s">
        <v>26</v>
      </c>
      <c r="B136" s="53" t="s">
        <v>1</v>
      </c>
      <c r="C136" s="53" t="s">
        <v>14</v>
      </c>
      <c r="D136" s="30" t="s">
        <v>22</v>
      </c>
      <c r="E136" s="34"/>
      <c r="F136" s="34"/>
      <c r="G136" s="34"/>
      <c r="H136" s="34"/>
      <c r="I136" s="34"/>
      <c r="J136" s="34"/>
      <c r="K136" s="35"/>
    </row>
    <row r="137" spans="1:11" ht="12.75" customHeight="1">
      <c r="A137" s="54"/>
      <c r="B137" s="54"/>
      <c r="C137" s="54"/>
      <c r="D137" s="45" t="str">
        <f>"NRL_14"&amp;E$8&amp;"04_"&amp;B$138&amp;"_"&amp;C$138&amp;"_PGM_H1"</f>
        <v>NRL_140904_CAN_SOU_PGM_H1</v>
      </c>
      <c r="E137" s="15"/>
      <c r="F137" s="15"/>
      <c r="G137" s="15"/>
      <c r="H137" s="15"/>
      <c r="I137" s="15"/>
      <c r="J137" s="15"/>
      <c r="K137" s="25"/>
    </row>
    <row r="138" spans="1:11" ht="12.75" customHeight="1">
      <c r="A138" s="43" t="s">
        <v>30</v>
      </c>
      <c r="B138" s="8" t="s">
        <v>42</v>
      </c>
      <c r="C138" s="8" t="s">
        <v>34</v>
      </c>
      <c r="D138" s="45" t="str">
        <f>"NRL_14"&amp;E$8&amp;"04_"&amp;B$138&amp;"_"&amp;C$138&amp;"_PGM_H2"</f>
        <v>NRL_140904_CAN_SOU_PGM_H2</v>
      </c>
      <c r="E138" s="15"/>
      <c r="F138" s="15"/>
      <c r="G138" s="15"/>
      <c r="H138" s="15"/>
      <c r="I138" s="15"/>
      <c r="J138" s="15"/>
      <c r="K138" s="25"/>
    </row>
    <row r="139" spans="1:11" ht="12.75" customHeight="1">
      <c r="A139" s="5"/>
      <c r="B139" s="5"/>
      <c r="C139" s="5"/>
      <c r="D139" s="17" t="s">
        <v>23</v>
      </c>
      <c r="E139" s="18"/>
      <c r="F139" s="18"/>
      <c r="G139" s="18"/>
      <c r="H139" s="18"/>
      <c r="I139" s="18"/>
      <c r="J139" s="18"/>
      <c r="K139" s="19"/>
    </row>
    <row r="140" spans="1:11" ht="12.75" customHeight="1">
      <c r="A140" s="5"/>
      <c r="B140" s="5"/>
      <c r="C140" s="5"/>
      <c r="D140" s="45" t="str">
        <f>"NRL_14"&amp;E$8&amp;"04_"&amp;B$138&amp;"_"&amp;C$138&amp;"_CAM1_H1"</f>
        <v>NRL_140904_CAN_SOU_CAM1_H1</v>
      </c>
      <c r="E140" s="15"/>
      <c r="F140" s="15"/>
      <c r="G140" s="15"/>
      <c r="H140" s="15"/>
      <c r="I140" s="15"/>
      <c r="J140" s="15"/>
      <c r="K140" s="25"/>
    </row>
    <row r="141" spans="1:11" ht="12.75" customHeight="1">
      <c r="A141" s="5"/>
      <c r="B141" s="5"/>
      <c r="C141" s="5"/>
      <c r="D141" s="45" t="str">
        <f>"NRL_14"&amp;E$8&amp;"04_"&amp;B$138&amp;"_"&amp;C$138&amp;"_CAM1_H2"</f>
        <v>NRL_140904_CAN_SOU_CAM1_H2</v>
      </c>
      <c r="E141" s="15"/>
      <c r="F141" s="15"/>
      <c r="G141" s="15"/>
      <c r="H141" s="15"/>
      <c r="I141" s="15"/>
      <c r="J141" s="15"/>
      <c r="K141" s="25"/>
    </row>
    <row r="142" spans="1:11" ht="12.75" customHeight="1">
      <c r="A142" s="5"/>
      <c r="B142" s="5"/>
      <c r="C142" s="5"/>
      <c r="D142" s="17" t="s">
        <v>24</v>
      </c>
      <c r="E142" s="18"/>
      <c r="F142" s="18"/>
      <c r="G142" s="18"/>
      <c r="H142" s="18"/>
      <c r="I142" s="18"/>
      <c r="J142" s="18"/>
      <c r="K142" s="19"/>
    </row>
    <row r="143" spans="1:11" ht="12.75" customHeight="1">
      <c r="A143" s="5"/>
      <c r="B143" s="26"/>
      <c r="C143" s="5"/>
      <c r="D143" s="45" t="str">
        <f>"REFNRL_14"&amp;E$8&amp;"04_"&amp;B$138&amp;"_"&amp;C$138&amp;"_PGM_H1"</f>
        <v>REFNRL_140904_CAN_SOU_PGM_H1</v>
      </c>
      <c r="E143" s="15"/>
      <c r="F143" s="15"/>
      <c r="G143" s="15"/>
      <c r="H143" s="15"/>
      <c r="I143" s="27"/>
      <c r="J143" s="27"/>
      <c r="K143" s="25"/>
    </row>
    <row r="144" spans="1:11" ht="12.75" customHeight="1">
      <c r="A144" s="5"/>
      <c r="B144" s="4"/>
      <c r="C144" s="5"/>
      <c r="D144" s="45" t="str">
        <f>"REFNRL_14"&amp;E$8&amp;"04_"&amp;B$138&amp;"_"&amp;C$138&amp;"_PGM_H2"</f>
        <v>REFNRL_140904_CAN_SOU_PGM_H2</v>
      </c>
      <c r="E144" s="15"/>
      <c r="F144" s="15"/>
      <c r="G144" s="15"/>
      <c r="H144" s="15"/>
      <c r="I144" s="27"/>
      <c r="J144" s="27"/>
      <c r="K144" s="25"/>
    </row>
    <row r="145" spans="1:11" ht="12.75" customHeight="1">
      <c r="A145" s="5"/>
      <c r="B145" s="11"/>
      <c r="C145" s="5"/>
      <c r="D145" s="17" t="s">
        <v>25</v>
      </c>
      <c r="E145" s="18"/>
      <c r="F145" s="18"/>
      <c r="G145" s="18"/>
      <c r="H145" s="18"/>
      <c r="I145" s="18"/>
      <c r="J145" s="18"/>
      <c r="K145" s="19"/>
    </row>
    <row r="146" spans="1:11" ht="12.75" customHeight="1">
      <c r="A146" s="5"/>
      <c r="B146" s="26"/>
      <c r="C146" s="5"/>
      <c r="D146" s="45" t="str">
        <f>"REFNRL_14"&amp;E$8&amp;"04_"&amp;B$138&amp;"_"&amp;C$138&amp;"_CAM1_H1"</f>
        <v>REFNRL_140904_CAN_SOU_CAM1_H1</v>
      </c>
      <c r="E146" s="15"/>
      <c r="F146" s="15"/>
      <c r="G146" s="15"/>
      <c r="H146" s="15"/>
      <c r="I146" s="27"/>
      <c r="J146" s="27"/>
      <c r="K146" s="25"/>
    </row>
    <row r="147" spans="1:11" ht="12.75" customHeight="1">
      <c r="A147" s="5"/>
      <c r="B147" s="4"/>
      <c r="C147" s="5"/>
      <c r="D147" s="45" t="str">
        <f>"REFNRL_14"&amp;E$8&amp;"04_"&amp;B$138&amp;"_"&amp;C$138&amp;"_CAM1_H2"</f>
        <v>REFNRL_140904_CAN_SOU_CAM1_H2</v>
      </c>
      <c r="E147" s="15"/>
      <c r="F147" s="15"/>
      <c r="G147" s="15"/>
      <c r="H147" s="15"/>
      <c r="I147" s="27"/>
      <c r="J147" s="27"/>
      <c r="K147" s="25"/>
    </row>
    <row r="150" spans="1:11" ht="3.6" customHeight="1">
      <c r="A150" s="51" t="s">
        <v>27</v>
      </c>
      <c r="B150" s="51"/>
      <c r="C150" s="51"/>
      <c r="D150" s="51"/>
      <c r="E150" s="51"/>
      <c r="F150" s="51"/>
      <c r="G150" s="51"/>
      <c r="H150" s="51"/>
      <c r="I150" s="51"/>
      <c r="J150" s="51"/>
      <c r="K150" s="51"/>
    </row>
    <row r="151" spans="1:11" ht="12.6" customHeight="1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</row>
    <row r="152" spans="1:11" ht="40.5" customHeight="1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</row>
    <row r="153" spans="1:11" ht="12.75" customHeight="1">
      <c r="A153" s="52" t="s">
        <v>16</v>
      </c>
      <c r="B153" s="52"/>
      <c r="C153" s="52"/>
      <c r="D153" s="52"/>
      <c r="E153" s="52"/>
      <c r="F153" s="52"/>
      <c r="G153" s="52"/>
      <c r="H153" s="52"/>
      <c r="I153" s="52"/>
      <c r="J153" s="52"/>
      <c r="K153" s="52"/>
    </row>
    <row r="154" spans="1:11" ht="12.75" customHeight="1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</row>
    <row r="155" spans="1:11" ht="12.75" customHeight="1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</row>
    <row r="156" spans="1:11" ht="12.75" customHeight="1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</row>
    <row r="157" spans="1:11" ht="12.75" customHeight="1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</row>
    <row r="158" spans="1:11" ht="12.75" customHeight="1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</row>
    <row r="160" spans="1:11" ht="12.75" customHeight="1">
      <c r="A160" s="28" t="s">
        <v>17</v>
      </c>
      <c r="B160" s="29" t="s">
        <v>18</v>
      </c>
      <c r="C160" s="29" t="s">
        <v>19</v>
      </c>
      <c r="D160" s="4"/>
    </row>
    <row r="161" spans="1:11" ht="12.75" customHeight="1">
      <c r="A161" s="53" t="s">
        <v>21</v>
      </c>
      <c r="B161" s="53" t="str">
        <f>B$174&amp;" U20"</f>
        <v>Melbourne Storm U20</v>
      </c>
      <c r="C161" s="53" t="str">
        <f>C$174&amp;" U20"</f>
        <v>Canterbury-Bankstown Bulldogs U20</v>
      </c>
      <c r="D161" s="36" t="s">
        <v>22</v>
      </c>
      <c r="E161" s="13"/>
      <c r="F161" s="13"/>
      <c r="G161" s="13"/>
      <c r="H161" s="13"/>
      <c r="I161" s="13"/>
      <c r="J161" s="13"/>
      <c r="K161" s="14"/>
    </row>
    <row r="162" spans="1:11" ht="12.75" customHeight="1">
      <c r="A162" s="54"/>
      <c r="B162" s="54"/>
      <c r="C162" s="54"/>
      <c r="D162" s="45" t="str">
        <f>"NYC_14"&amp;E$8&amp;"05_"&amp;B$176&amp;"_"&amp;C$176&amp;"_PGM_H1"</f>
        <v>NYC_140905_MEL_BUL_PGM_H1</v>
      </c>
      <c r="E162" s="15"/>
      <c r="F162" s="15"/>
      <c r="G162" s="15"/>
      <c r="H162" s="15"/>
      <c r="I162" s="15"/>
      <c r="J162" s="15"/>
      <c r="K162" s="16"/>
    </row>
    <row r="163" spans="1:11" ht="12.75" customHeight="1">
      <c r="A163" s="5"/>
      <c r="B163" s="5"/>
      <c r="C163" s="5"/>
      <c r="D163" s="45" t="str">
        <f>"NYC_14"&amp;E$8&amp;"05_"&amp;B$176&amp;"_"&amp;C$176&amp;"_PGM_H2"</f>
        <v>NYC_140905_MEL_BUL_PGM_H2</v>
      </c>
      <c r="E163" s="15"/>
      <c r="F163" s="15"/>
      <c r="G163" s="15"/>
      <c r="H163" s="15"/>
      <c r="I163" s="15"/>
      <c r="J163" s="15"/>
      <c r="K163" s="16"/>
    </row>
    <row r="164" spans="1:11" ht="12.75" customHeight="1">
      <c r="A164" s="5"/>
      <c r="B164" s="5"/>
      <c r="C164" s="5"/>
      <c r="D164" s="17" t="s">
        <v>23</v>
      </c>
      <c r="E164" s="18"/>
      <c r="F164" s="18"/>
      <c r="G164" s="18"/>
      <c r="H164" s="18"/>
      <c r="I164" s="18"/>
      <c r="J164" s="18"/>
      <c r="K164" s="19"/>
    </row>
    <row r="165" spans="1:11" ht="12.75" customHeight="1">
      <c r="A165" s="5"/>
      <c r="B165" s="5"/>
      <c r="C165" s="5"/>
      <c r="D165" s="45" t="str">
        <f>"NYC_14"&amp;E$8&amp;"05_"&amp;B$176&amp;"_"&amp;C$176&amp;"_CAM1_H1"</f>
        <v>NYC_140905_MEL_BUL_CAM1_H1</v>
      </c>
      <c r="E165" s="15"/>
      <c r="F165" s="15"/>
      <c r="G165" s="15"/>
      <c r="H165" s="15"/>
      <c r="I165" s="15"/>
      <c r="J165" s="15"/>
      <c r="K165" s="16"/>
    </row>
    <row r="166" spans="1:11" ht="12.75" customHeight="1">
      <c r="A166" s="5"/>
      <c r="B166" s="33"/>
      <c r="C166" s="5"/>
      <c r="D166" s="45" t="str">
        <f>"NYC_14"&amp;E$8&amp;"05_"&amp;B$176&amp;"_"&amp;C$176&amp;"_CAM1_H2"</f>
        <v>NYC_140905_MEL_BUL_CAM1_H2</v>
      </c>
      <c r="E166" s="15"/>
      <c r="F166" s="15"/>
      <c r="G166" s="15"/>
      <c r="H166" s="15"/>
      <c r="I166" s="15"/>
      <c r="J166" s="15"/>
      <c r="K166" s="16"/>
    </row>
    <row r="167" spans="1:11" ht="12.75" customHeight="1">
      <c r="A167" s="5"/>
      <c r="B167" s="5"/>
      <c r="C167" s="5"/>
      <c r="D167" s="17" t="s">
        <v>24</v>
      </c>
      <c r="E167" s="18"/>
      <c r="F167" s="18"/>
      <c r="G167" s="18"/>
      <c r="H167" s="18"/>
      <c r="I167" s="18"/>
      <c r="J167" s="18"/>
      <c r="K167" s="19"/>
    </row>
    <row r="168" spans="1:11" ht="12.75" customHeight="1">
      <c r="A168" s="5"/>
      <c r="B168" s="5"/>
      <c r="C168" s="5"/>
      <c r="D168" s="45" t="str">
        <f>"REFNYC_14"&amp;E$8&amp;"05_"&amp;B$176&amp;"_"&amp;C$176&amp;"_PGM_H1"</f>
        <v>REFNYC_140905_MEL_BUL_PGM_H1</v>
      </c>
      <c r="E168" s="15"/>
      <c r="F168" s="15"/>
      <c r="G168" s="15"/>
      <c r="H168" s="15"/>
      <c r="I168" s="15"/>
      <c r="J168" s="15"/>
      <c r="K168" s="16"/>
    </row>
    <row r="169" spans="1:11" ht="12.75" customHeight="1">
      <c r="A169" s="5"/>
      <c r="B169" s="5"/>
      <c r="C169" s="5"/>
      <c r="D169" s="45" t="str">
        <f>"REFNYC_14"&amp;E$8&amp;"05_"&amp;B$176&amp;"_"&amp;C$176&amp;"_PGM_H2"</f>
        <v>REFNYC_140905_MEL_BUL_PGM_H2</v>
      </c>
      <c r="E169" s="15"/>
      <c r="F169" s="15"/>
      <c r="G169" s="15"/>
      <c r="H169" s="15"/>
      <c r="I169" s="15"/>
      <c r="J169" s="15"/>
      <c r="K169" s="16"/>
    </row>
    <row r="170" spans="1:11" ht="12.75" customHeight="1">
      <c r="A170" s="5"/>
      <c r="B170" s="5"/>
      <c r="C170" s="5"/>
      <c r="D170" s="17" t="s">
        <v>25</v>
      </c>
      <c r="E170" s="18"/>
      <c r="F170" s="18"/>
      <c r="G170" s="18"/>
      <c r="H170" s="18"/>
      <c r="I170" s="18"/>
      <c r="J170" s="18"/>
      <c r="K170" s="19"/>
    </row>
    <row r="171" spans="1:11" ht="12.75" customHeight="1">
      <c r="A171" s="5"/>
      <c r="B171" s="5"/>
      <c r="C171" s="5"/>
      <c r="D171" s="45" t="str">
        <f>"REFNYC_14"&amp;E$8&amp;"05_"&amp;B$176&amp;"_"&amp;C$176&amp;"_CAM1_H1"</f>
        <v>REFNYC_140905_MEL_BUL_CAM1_H1</v>
      </c>
      <c r="E171" s="15"/>
      <c r="F171" s="15"/>
      <c r="G171" s="15"/>
      <c r="H171" s="15"/>
      <c r="I171" s="15"/>
      <c r="J171" s="15"/>
      <c r="K171" s="16"/>
    </row>
    <row r="172" spans="1:11" ht="12.75" customHeight="1">
      <c r="A172" s="5"/>
      <c r="B172" s="5"/>
      <c r="C172" s="5"/>
      <c r="D172" s="45" t="str">
        <f>"REFNYC_14"&amp;E$8&amp;"05_"&amp;B$176&amp;"_"&amp;C$176&amp;"_CAM1_H2"</f>
        <v>REFNYC_140905_MEL_BUL_CAM1_H2</v>
      </c>
      <c r="E172" s="15"/>
      <c r="F172" s="15"/>
      <c r="G172" s="15"/>
      <c r="H172" s="15"/>
      <c r="I172" s="15"/>
      <c r="J172" s="15"/>
      <c r="K172" s="16"/>
    </row>
    <row r="173" spans="1:11" ht="12.75" customHeight="1">
      <c r="A173" s="5"/>
      <c r="B173" s="5"/>
      <c r="C173" s="5"/>
      <c r="D173" s="46"/>
      <c r="E173" s="4"/>
      <c r="F173" s="4"/>
      <c r="G173" s="4"/>
      <c r="H173" s="4"/>
      <c r="I173" s="4"/>
      <c r="J173" s="4"/>
      <c r="K173" s="4"/>
    </row>
    <row r="174" spans="1:11" ht="12.75" customHeight="1">
      <c r="A174" s="53" t="s">
        <v>26</v>
      </c>
      <c r="B174" s="53" t="s">
        <v>6</v>
      </c>
      <c r="C174" s="53" t="s">
        <v>2</v>
      </c>
      <c r="D174" s="30" t="s">
        <v>22</v>
      </c>
      <c r="E174" s="34"/>
      <c r="F174" s="34"/>
      <c r="G174" s="34"/>
      <c r="H174" s="34"/>
      <c r="I174" s="34"/>
      <c r="J174" s="34"/>
      <c r="K174" s="35"/>
    </row>
    <row r="175" spans="1:11" ht="12.75" customHeight="1">
      <c r="A175" s="54"/>
      <c r="B175" s="54"/>
      <c r="C175" s="54"/>
      <c r="D175" s="45" t="str">
        <f>"NRL_14"&amp;E$8&amp;"05_"&amp;B$176&amp;"_"&amp;C$176&amp;"_PGM_H1"</f>
        <v>NRL_140905_MEL_BUL_PGM_H1</v>
      </c>
      <c r="E175" s="15"/>
      <c r="F175" s="15"/>
      <c r="G175" s="15"/>
      <c r="H175" s="15"/>
      <c r="I175" s="15"/>
      <c r="J175" s="15"/>
      <c r="K175" s="25"/>
    </row>
    <row r="176" spans="1:11" ht="12.75" customHeight="1">
      <c r="A176" s="43" t="s">
        <v>30</v>
      </c>
      <c r="B176" s="8" t="s">
        <v>31</v>
      </c>
      <c r="C176" s="8" t="s">
        <v>39</v>
      </c>
      <c r="D176" s="45" t="str">
        <f>"NRL_14"&amp;E$8&amp;"05_"&amp;B$176&amp;"_"&amp;C$176&amp;"_PGM_H2"</f>
        <v>NRL_140905_MEL_BUL_PGM_H2</v>
      </c>
      <c r="E176" s="15"/>
      <c r="F176" s="15"/>
      <c r="G176" s="15"/>
      <c r="H176" s="15"/>
      <c r="I176" s="15"/>
      <c r="J176" s="15"/>
      <c r="K176" s="25"/>
    </row>
    <row r="177" spans="1:11" ht="12.75" customHeight="1">
      <c r="A177" s="5"/>
      <c r="B177" s="5"/>
      <c r="C177" s="5"/>
      <c r="D177" s="17" t="s">
        <v>23</v>
      </c>
      <c r="E177" s="18"/>
      <c r="F177" s="18"/>
      <c r="G177" s="18"/>
      <c r="H177" s="18"/>
      <c r="I177" s="18"/>
      <c r="J177" s="18"/>
      <c r="K177" s="19"/>
    </row>
    <row r="178" spans="1:11" ht="12.75" customHeight="1">
      <c r="A178" s="5"/>
      <c r="B178" s="5"/>
      <c r="C178" s="5"/>
      <c r="D178" s="45" t="str">
        <f>"NRL_14"&amp;E$8&amp;"05_"&amp;B$176&amp;"_"&amp;C$176&amp;"_CAM1_H1"</f>
        <v>NRL_140905_MEL_BUL_CAM1_H1</v>
      </c>
      <c r="E178" s="15"/>
      <c r="F178" s="15"/>
      <c r="G178" s="15"/>
      <c r="H178" s="15"/>
      <c r="I178" s="15"/>
      <c r="J178" s="15"/>
      <c r="K178" s="25"/>
    </row>
    <row r="179" spans="1:11" ht="12.75" customHeight="1">
      <c r="A179" s="5"/>
      <c r="B179" s="5"/>
      <c r="C179" s="5"/>
      <c r="D179" s="45" t="str">
        <f>"NRL_14"&amp;E$8&amp;"05_"&amp;B$176&amp;"_"&amp;C$176&amp;"_CAM1_H2"</f>
        <v>NRL_140905_MEL_BUL_CAM1_H2</v>
      </c>
      <c r="E179" s="15"/>
      <c r="F179" s="15"/>
      <c r="G179" s="15"/>
      <c r="H179" s="15"/>
      <c r="I179" s="15"/>
      <c r="J179" s="15"/>
      <c r="K179" s="25"/>
    </row>
    <row r="180" spans="1:11" ht="12.75" customHeight="1">
      <c r="A180" s="5"/>
      <c r="B180" s="5"/>
      <c r="C180" s="5"/>
      <c r="D180" s="17" t="s">
        <v>24</v>
      </c>
      <c r="E180" s="18"/>
      <c r="F180" s="18"/>
      <c r="G180" s="18"/>
      <c r="H180" s="18"/>
      <c r="I180" s="18"/>
      <c r="J180" s="18"/>
      <c r="K180" s="19"/>
    </row>
    <row r="181" spans="1:11" ht="12.75" customHeight="1">
      <c r="A181" s="5"/>
      <c r="B181" s="26"/>
      <c r="C181" s="5"/>
      <c r="D181" s="45" t="str">
        <f>"REFNRL_14"&amp;E$8&amp;"05_"&amp;B$176&amp;"_"&amp;C$176&amp;"_PGM_H1"</f>
        <v>REFNRL_140905_MEL_BUL_PGM_H1</v>
      </c>
      <c r="E181" s="15"/>
      <c r="F181" s="15"/>
      <c r="G181" s="15"/>
      <c r="H181" s="15"/>
      <c r="I181" s="15"/>
      <c r="J181" s="27"/>
      <c r="K181" s="25"/>
    </row>
    <row r="182" spans="1:11" ht="12.75" customHeight="1">
      <c r="A182" s="5"/>
      <c r="B182" s="4"/>
      <c r="C182" s="5"/>
      <c r="D182" s="45" t="str">
        <f>"REFNRL_14"&amp;E$8&amp;"05_"&amp;B$176&amp;"_"&amp;C$176&amp;"_PGM_H2"</f>
        <v>REFNRL_140905_MEL_BUL_PGM_H2</v>
      </c>
      <c r="E182" s="15"/>
      <c r="F182" s="15"/>
      <c r="G182" s="15"/>
      <c r="H182" s="15"/>
      <c r="I182" s="15"/>
      <c r="J182" s="27"/>
      <c r="K182" s="25"/>
    </row>
    <row r="183" spans="1:11" ht="12.75" customHeight="1">
      <c r="A183" s="5"/>
      <c r="B183" s="11"/>
      <c r="C183" s="5"/>
      <c r="D183" s="17" t="s">
        <v>25</v>
      </c>
      <c r="E183" s="18"/>
      <c r="F183" s="18"/>
      <c r="G183" s="18"/>
      <c r="H183" s="18"/>
      <c r="I183" s="18"/>
      <c r="J183" s="18"/>
      <c r="K183" s="19"/>
    </row>
    <row r="184" spans="1:11" ht="12.75" customHeight="1">
      <c r="A184" s="5"/>
      <c r="B184" s="26"/>
      <c r="C184" s="5"/>
      <c r="D184" s="45" t="str">
        <f>"REFNRL_14"&amp;E$8&amp;"05_"&amp;B$176&amp;"_"&amp;C$176&amp;"_CAM1_H1"</f>
        <v>REFNRL_140905_MEL_BUL_CAM1_H1</v>
      </c>
      <c r="E184" s="15"/>
      <c r="F184" s="15"/>
      <c r="G184" s="15"/>
      <c r="H184" s="15"/>
      <c r="I184" s="15"/>
      <c r="J184" s="27"/>
      <c r="K184" s="25"/>
    </row>
    <row r="185" spans="1:11" ht="12.75" customHeight="1">
      <c r="A185" s="5"/>
      <c r="B185" s="4"/>
      <c r="C185" s="5"/>
      <c r="D185" s="45" t="str">
        <f>"REFNRL_14"&amp;E$8&amp;"05_"&amp;B$176&amp;"_"&amp;C$176&amp;"_CAM1_H2"</f>
        <v>REFNRL_140905_MEL_BUL_CAM1_H2</v>
      </c>
      <c r="E185" s="15"/>
      <c r="F185" s="15"/>
      <c r="G185" s="15"/>
      <c r="H185" s="15"/>
      <c r="I185" s="15"/>
      <c r="J185" s="27"/>
      <c r="K185" s="25"/>
    </row>
    <row r="188" spans="1:11" ht="3.6" customHeight="1">
      <c r="A188" s="51" t="s">
        <v>27</v>
      </c>
      <c r="B188" s="51"/>
      <c r="C188" s="51"/>
      <c r="D188" s="51"/>
      <c r="E188" s="51"/>
      <c r="F188" s="51"/>
      <c r="G188" s="51"/>
      <c r="H188" s="51"/>
      <c r="I188" s="51"/>
      <c r="J188" s="51"/>
      <c r="K188" s="51"/>
    </row>
    <row r="189" spans="1:11" ht="12.6" customHeight="1">
      <c r="A189" s="51"/>
      <c r="B189" s="51"/>
      <c r="C189" s="51"/>
      <c r="D189" s="51"/>
      <c r="E189" s="51"/>
      <c r="F189" s="51"/>
      <c r="G189" s="51"/>
      <c r="H189" s="51"/>
      <c r="I189" s="51"/>
      <c r="J189" s="51"/>
      <c r="K189" s="51"/>
    </row>
    <row r="190" spans="1:11" ht="42" customHeight="1">
      <c r="A190" s="51"/>
      <c r="B190" s="51"/>
      <c r="C190" s="51"/>
      <c r="D190" s="51"/>
      <c r="E190" s="51"/>
      <c r="F190" s="51"/>
      <c r="G190" s="51"/>
      <c r="H190" s="51"/>
      <c r="I190" s="51"/>
      <c r="J190" s="51"/>
      <c r="K190" s="51"/>
    </row>
    <row r="191" spans="1:11" ht="12.75" customHeight="1">
      <c r="A191" s="52" t="s">
        <v>16</v>
      </c>
      <c r="B191" s="52"/>
      <c r="C191" s="52"/>
      <c r="D191" s="52"/>
      <c r="E191" s="52"/>
      <c r="F191" s="52"/>
      <c r="G191" s="52"/>
      <c r="H191" s="52"/>
      <c r="I191" s="52"/>
      <c r="J191" s="52"/>
      <c r="K191" s="52"/>
    </row>
    <row r="192" spans="1:11" ht="12.75" customHeight="1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52"/>
    </row>
    <row r="193" spans="1:11" ht="12.75" customHeight="1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52"/>
    </row>
    <row r="194" spans="1:11" ht="12.75" customHeight="1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52"/>
    </row>
    <row r="195" spans="1:11" ht="12.75" customHeight="1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52"/>
    </row>
    <row r="196" spans="1:11" ht="12.75" customHeight="1">
      <c r="A196" s="52"/>
      <c r="B196" s="52"/>
      <c r="C196" s="52"/>
      <c r="D196" s="52"/>
      <c r="E196" s="52"/>
      <c r="F196" s="52"/>
      <c r="G196" s="52"/>
      <c r="H196" s="52"/>
      <c r="I196" s="52"/>
      <c r="J196" s="52"/>
      <c r="K196" s="52"/>
    </row>
    <row r="198" spans="1:11" ht="12.75" customHeight="1">
      <c r="A198" s="28" t="s">
        <v>17</v>
      </c>
      <c r="B198" s="29" t="s">
        <v>18</v>
      </c>
      <c r="C198" s="29" t="s">
        <v>19</v>
      </c>
      <c r="D198" s="4"/>
    </row>
    <row r="199" spans="1:11" ht="12.75" customHeight="1">
      <c r="A199" s="53" t="s">
        <v>21</v>
      </c>
      <c r="B199" s="53" t="str">
        <f>B$212&amp;" U20"</f>
        <v>North Queensland Cowboys U20</v>
      </c>
      <c r="C199" s="53" t="str">
        <f>C$212&amp;" U20"</f>
        <v>Penrith Panthers U20</v>
      </c>
      <c r="D199" s="30" t="s">
        <v>22</v>
      </c>
      <c r="E199" s="31"/>
      <c r="F199" s="31"/>
      <c r="G199" s="31"/>
      <c r="H199" s="31"/>
      <c r="I199" s="31"/>
      <c r="J199" s="31"/>
      <c r="K199" s="32"/>
    </row>
    <row r="200" spans="1:11" ht="12.75" customHeight="1">
      <c r="A200" s="54"/>
      <c r="B200" s="54"/>
      <c r="C200" s="54"/>
      <c r="D200" s="45" t="str">
        <f>"NYC_14"&amp;E$8&amp;"06_"&amp;B$214&amp;"_"&amp;C$214&amp;"_PGM_H1"</f>
        <v>NYC_140906_NQL_PEN_PGM_H1</v>
      </c>
      <c r="E200" s="15"/>
      <c r="F200" s="15"/>
      <c r="G200" s="15"/>
      <c r="H200" s="15"/>
      <c r="I200" s="15"/>
      <c r="J200" s="15"/>
      <c r="K200" s="16"/>
    </row>
    <row r="201" spans="1:11" ht="12.75" customHeight="1">
      <c r="A201" s="5"/>
      <c r="B201" s="5"/>
      <c r="C201" s="5"/>
      <c r="D201" s="45" t="str">
        <f>"NYC_14"&amp;E$8&amp;"06_"&amp;B$214&amp;"_"&amp;C$214&amp;"_PGM_H2"</f>
        <v>NYC_140906_NQL_PEN_PGM_H2</v>
      </c>
      <c r="E201" s="15"/>
      <c r="F201" s="15"/>
      <c r="G201" s="15"/>
      <c r="H201" s="15"/>
      <c r="I201" s="15"/>
      <c r="J201" s="15"/>
      <c r="K201" s="16"/>
    </row>
    <row r="202" spans="1:11" ht="12.75" customHeight="1">
      <c r="A202" s="5"/>
      <c r="B202" s="5"/>
      <c r="C202" s="5"/>
      <c r="D202" s="17" t="s">
        <v>23</v>
      </c>
      <c r="E202" s="18"/>
      <c r="F202" s="18"/>
      <c r="G202" s="18"/>
      <c r="H202" s="18"/>
      <c r="I202" s="18"/>
      <c r="J202" s="18"/>
      <c r="K202" s="19"/>
    </row>
    <row r="203" spans="1:11" ht="12.75" customHeight="1">
      <c r="A203" s="5"/>
      <c r="B203" s="5"/>
      <c r="C203" s="5"/>
      <c r="D203" s="45" t="str">
        <f>"NYC_14"&amp;E$8&amp;"06_"&amp;B$214&amp;"_"&amp;C$214&amp;"_CAM1_H1"</f>
        <v>NYC_140906_NQL_PEN_CAM1_H1</v>
      </c>
      <c r="E203" s="15"/>
      <c r="F203" s="15"/>
      <c r="G203" s="15"/>
      <c r="H203" s="15"/>
      <c r="I203" s="15"/>
      <c r="J203" s="15"/>
      <c r="K203" s="16"/>
    </row>
    <row r="204" spans="1:11" ht="12.75" customHeight="1">
      <c r="A204" s="5"/>
      <c r="B204" s="33"/>
      <c r="C204" s="5"/>
      <c r="D204" s="45" t="str">
        <f>"NYC_14"&amp;E$8&amp;"06_"&amp;B$214&amp;"_"&amp;C$214&amp;"_CAM1_H2"</f>
        <v>NYC_140906_NQL_PEN_CAM1_H2</v>
      </c>
      <c r="E204" s="15"/>
      <c r="F204" s="15"/>
      <c r="G204" s="15"/>
      <c r="H204" s="15"/>
      <c r="I204" s="15"/>
      <c r="J204" s="15"/>
      <c r="K204" s="16"/>
    </row>
    <row r="205" spans="1:11" ht="12.75" customHeight="1">
      <c r="A205" s="5"/>
      <c r="B205" s="5"/>
      <c r="C205" s="5"/>
      <c r="D205" s="17" t="s">
        <v>24</v>
      </c>
      <c r="E205" s="18"/>
      <c r="F205" s="18"/>
      <c r="G205" s="18"/>
      <c r="H205" s="18"/>
      <c r="I205" s="18"/>
      <c r="J205" s="18"/>
      <c r="K205" s="19"/>
    </row>
    <row r="206" spans="1:11" ht="12.75" customHeight="1">
      <c r="A206" s="5"/>
      <c r="B206" s="5"/>
      <c r="C206" s="5"/>
      <c r="D206" s="45" t="str">
        <f>"REFNYC_14"&amp;E$8&amp;"06_"&amp;B$214&amp;"_"&amp;C$214&amp;"_PGM_H1"</f>
        <v>REFNYC_140906_NQL_PEN_PGM_H1</v>
      </c>
      <c r="E206" s="15"/>
      <c r="F206" s="15"/>
      <c r="G206" s="15"/>
      <c r="H206" s="15"/>
      <c r="I206" s="15"/>
      <c r="J206" s="15"/>
      <c r="K206" s="16"/>
    </row>
    <row r="207" spans="1:11" ht="12.75" customHeight="1">
      <c r="A207" s="5"/>
      <c r="B207" s="5"/>
      <c r="C207" s="5"/>
      <c r="D207" s="45" t="str">
        <f>"REFNYC_14"&amp;E$8&amp;"06_"&amp;B$214&amp;"_"&amp;C$214&amp;"_PGM_H2"</f>
        <v>REFNYC_140906_NQL_PEN_PGM_H2</v>
      </c>
      <c r="E207" s="15"/>
      <c r="F207" s="15"/>
      <c r="G207" s="15"/>
      <c r="H207" s="15"/>
      <c r="I207" s="15"/>
      <c r="J207" s="15"/>
      <c r="K207" s="16"/>
    </row>
    <row r="208" spans="1:11" ht="12.75" customHeight="1">
      <c r="A208" s="5"/>
      <c r="B208" s="5"/>
      <c r="C208" s="5"/>
      <c r="D208" s="17" t="s">
        <v>25</v>
      </c>
      <c r="E208" s="18"/>
      <c r="F208" s="18"/>
      <c r="G208" s="18"/>
      <c r="H208" s="18"/>
      <c r="I208" s="18"/>
      <c r="J208" s="18"/>
      <c r="K208" s="19"/>
    </row>
    <row r="209" spans="1:11" ht="12.75" customHeight="1">
      <c r="A209" s="5"/>
      <c r="B209" s="5"/>
      <c r="C209" s="5"/>
      <c r="D209" s="45" t="str">
        <f>"REFNYC_14"&amp;E$8&amp;"06_"&amp;B$214&amp;"_"&amp;C$214&amp;"_CAM1_H1"</f>
        <v>REFNYC_140906_NQL_PEN_CAM1_H1</v>
      </c>
      <c r="E209" s="15"/>
      <c r="F209" s="15"/>
      <c r="G209" s="15"/>
      <c r="H209" s="15"/>
      <c r="I209" s="15"/>
      <c r="J209" s="15"/>
      <c r="K209" s="16"/>
    </row>
    <row r="210" spans="1:11" ht="12.75" customHeight="1">
      <c r="A210" s="5"/>
      <c r="B210" s="5"/>
      <c r="C210" s="5"/>
      <c r="D210" s="45" t="str">
        <f>"REFNYC_14"&amp;E$8&amp;"06_"&amp;B$214&amp;"_"&amp;C$214&amp;"_CAM1_H2"</f>
        <v>REFNYC_140906_NQL_PEN_CAM1_H2</v>
      </c>
      <c r="E210" s="15"/>
      <c r="F210" s="15"/>
      <c r="G210" s="15"/>
      <c r="H210" s="15"/>
      <c r="I210" s="15"/>
      <c r="J210" s="15"/>
      <c r="K210" s="16"/>
    </row>
    <row r="211" spans="1:11" ht="12.75" customHeight="1">
      <c r="A211" s="5"/>
      <c r="B211" s="5"/>
      <c r="C211" s="5"/>
      <c r="D211" s="20"/>
      <c r="E211" s="4"/>
      <c r="F211" s="4"/>
      <c r="G211" s="4"/>
      <c r="H211" s="4"/>
      <c r="I211" s="4"/>
      <c r="J211" s="4"/>
      <c r="K211" s="4"/>
    </row>
    <row r="212" spans="1:11" ht="12.75" customHeight="1">
      <c r="A212" s="53" t="s">
        <v>26</v>
      </c>
      <c r="B212" s="53" t="s">
        <v>11</v>
      </c>
      <c r="C212" s="53" t="s">
        <v>13</v>
      </c>
      <c r="D212" s="30" t="s">
        <v>22</v>
      </c>
      <c r="E212" s="34"/>
      <c r="F212" s="34"/>
      <c r="G212" s="34"/>
      <c r="H212" s="34"/>
      <c r="I212" s="34"/>
      <c r="J212" s="34"/>
      <c r="K212" s="35"/>
    </row>
    <row r="213" spans="1:11" ht="12.75" customHeight="1">
      <c r="A213" s="54"/>
      <c r="B213" s="54"/>
      <c r="C213" s="54"/>
      <c r="D213" s="45" t="str">
        <f>"NRL_14"&amp;E$8&amp;"06_"&amp;B$214&amp;"_"&amp;C$214&amp;"_PGM_H1"</f>
        <v>NRL_140906_NQL_PEN_PGM_H1</v>
      </c>
      <c r="E213" s="15"/>
      <c r="F213" s="15"/>
      <c r="G213" s="15"/>
      <c r="H213" s="15"/>
      <c r="I213" s="15"/>
      <c r="J213" s="15"/>
      <c r="K213" s="25"/>
    </row>
    <row r="214" spans="1:11" ht="12.75" customHeight="1">
      <c r="A214" s="43" t="s">
        <v>30</v>
      </c>
      <c r="B214" s="8" t="s">
        <v>37</v>
      </c>
      <c r="C214" s="8" t="s">
        <v>36</v>
      </c>
      <c r="D214" s="45" t="str">
        <f>"NRL_14"&amp;E$8&amp;"06_"&amp;B$214&amp;"_"&amp;C$214&amp;"_PGM_H2"</f>
        <v>NRL_140906_NQL_PEN_PGM_H2</v>
      </c>
      <c r="E214" s="15"/>
      <c r="F214" s="15"/>
      <c r="G214" s="15"/>
      <c r="H214" s="15"/>
      <c r="I214" s="15"/>
      <c r="J214" s="15"/>
      <c r="K214" s="25"/>
    </row>
    <row r="215" spans="1:11" ht="12.75" customHeight="1">
      <c r="A215" s="5"/>
      <c r="B215" s="5"/>
      <c r="C215" s="5"/>
      <c r="D215" s="17" t="s">
        <v>23</v>
      </c>
      <c r="E215" s="18"/>
      <c r="F215" s="18"/>
      <c r="G215" s="18"/>
      <c r="H215" s="18"/>
      <c r="I215" s="18"/>
      <c r="J215" s="18"/>
      <c r="K215" s="19"/>
    </row>
    <row r="216" spans="1:11" ht="12.75" customHeight="1">
      <c r="A216" s="5"/>
      <c r="B216" s="5"/>
      <c r="C216" s="5"/>
      <c r="D216" s="45" t="str">
        <f>"NRL_14"&amp;E$8&amp;"06_"&amp;B$214&amp;"_"&amp;C$214&amp;"_CAM1_H1"</f>
        <v>NRL_140906_NQL_PEN_CAM1_H1</v>
      </c>
      <c r="E216" s="15"/>
      <c r="F216" s="15"/>
      <c r="G216" s="15"/>
      <c r="H216" s="15"/>
      <c r="I216" s="15"/>
      <c r="J216" s="15"/>
      <c r="K216" s="25"/>
    </row>
    <row r="217" spans="1:11" ht="12.75" customHeight="1">
      <c r="A217" s="5"/>
      <c r="B217" s="5"/>
      <c r="C217" s="5"/>
      <c r="D217" s="45" t="str">
        <f>"NRL_14"&amp;E$8&amp;"06_"&amp;B$214&amp;"_"&amp;C$214&amp;"_CAM1_H2"</f>
        <v>NRL_140906_NQL_PEN_CAM1_H2</v>
      </c>
      <c r="E217" s="15"/>
      <c r="F217" s="15"/>
      <c r="G217" s="15"/>
      <c r="H217" s="15"/>
      <c r="I217" s="15"/>
      <c r="J217" s="15"/>
      <c r="K217" s="25"/>
    </row>
    <row r="218" spans="1:11" ht="12.75" customHeight="1">
      <c r="A218" s="5"/>
      <c r="B218" s="5"/>
      <c r="C218" s="5"/>
      <c r="D218" s="17" t="s">
        <v>24</v>
      </c>
      <c r="E218" s="18"/>
      <c r="F218" s="18"/>
      <c r="G218" s="18"/>
      <c r="H218" s="18"/>
      <c r="I218" s="18"/>
      <c r="J218" s="18"/>
      <c r="K218" s="19"/>
    </row>
    <row r="219" spans="1:11" ht="12.75" customHeight="1">
      <c r="A219" s="5"/>
      <c r="B219" s="26"/>
      <c r="C219" s="5"/>
      <c r="D219" s="45" t="str">
        <f>"REFNRL_14"&amp;E$8&amp;"06_"&amp;B$214&amp;"_"&amp;C$214&amp;"_PGM_H1"</f>
        <v>REFNRL_140906_NQL_PEN_PGM_H1</v>
      </c>
      <c r="E219" s="15"/>
      <c r="F219" s="15"/>
      <c r="G219" s="15"/>
      <c r="H219" s="15"/>
      <c r="I219" s="15"/>
      <c r="J219" s="27"/>
      <c r="K219" s="25"/>
    </row>
    <row r="220" spans="1:11" ht="12.75" customHeight="1">
      <c r="A220" s="5"/>
      <c r="B220" s="4"/>
      <c r="C220" s="5"/>
      <c r="D220" s="45" t="str">
        <f>"REFNRL_14"&amp;E$8&amp;"06_"&amp;B$214&amp;"_"&amp;C$214&amp;"_PGM_H2"</f>
        <v>REFNRL_140906_NQL_PEN_PGM_H2</v>
      </c>
      <c r="E220" s="15"/>
      <c r="F220" s="15"/>
      <c r="G220" s="15"/>
      <c r="H220" s="15"/>
      <c r="I220" s="15"/>
      <c r="J220" s="27"/>
      <c r="K220" s="25"/>
    </row>
    <row r="221" spans="1:11" ht="12.75" customHeight="1">
      <c r="A221" s="5"/>
      <c r="B221" s="11"/>
      <c r="C221" s="5"/>
      <c r="D221" s="17" t="s">
        <v>25</v>
      </c>
      <c r="E221" s="18"/>
      <c r="F221" s="18"/>
      <c r="G221" s="18"/>
      <c r="H221" s="18"/>
      <c r="I221" s="18"/>
      <c r="J221" s="18"/>
      <c r="K221" s="19"/>
    </row>
    <row r="222" spans="1:11" ht="12.75" customHeight="1">
      <c r="A222" s="5"/>
      <c r="B222" s="26"/>
      <c r="C222" s="5"/>
      <c r="D222" s="45" t="str">
        <f>"REFNRL_14"&amp;E$8&amp;"06_"&amp;B$214&amp;"_"&amp;C$214&amp;"_CAM1_H1"</f>
        <v>REFNRL_140906_NQL_PEN_CAM1_H1</v>
      </c>
      <c r="E222" s="15"/>
      <c r="F222" s="15"/>
      <c r="G222" s="15"/>
      <c r="H222" s="15"/>
      <c r="I222" s="15"/>
      <c r="J222" s="27"/>
      <c r="K222" s="25"/>
    </row>
    <row r="223" spans="1:11" ht="12.75" customHeight="1">
      <c r="A223" s="5"/>
      <c r="B223" s="4"/>
      <c r="C223" s="5"/>
      <c r="D223" s="45" t="str">
        <f>"REFNRL_14"&amp;E$8&amp;"06_"&amp;B$214&amp;"_"&amp;C$214&amp;"_CAM1_H2"</f>
        <v>REFNRL_140906_NQL_PEN_CAM1_H2</v>
      </c>
      <c r="E223" s="15"/>
      <c r="F223" s="15"/>
      <c r="G223" s="15"/>
      <c r="H223" s="15"/>
      <c r="I223" s="15"/>
      <c r="J223" s="27"/>
      <c r="K223" s="25"/>
    </row>
    <row r="226" spans="1:11" ht="3.6" customHeight="1">
      <c r="A226" s="51" t="s">
        <v>27</v>
      </c>
      <c r="B226" s="51"/>
      <c r="C226" s="51"/>
      <c r="D226" s="51"/>
      <c r="E226" s="51"/>
      <c r="F226" s="51"/>
      <c r="G226" s="51"/>
      <c r="H226" s="51"/>
      <c r="I226" s="51"/>
      <c r="J226" s="51"/>
      <c r="K226" s="51"/>
    </row>
    <row r="227" spans="1:11" ht="12.6" customHeight="1">
      <c r="A227" s="51"/>
      <c r="B227" s="51"/>
      <c r="C227" s="51"/>
      <c r="D227" s="51"/>
      <c r="E227" s="51"/>
      <c r="F227" s="51"/>
      <c r="G227" s="51"/>
      <c r="H227" s="51"/>
      <c r="I227" s="51"/>
      <c r="J227" s="51"/>
      <c r="K227" s="51"/>
    </row>
    <row r="228" spans="1:11" ht="42" customHeight="1">
      <c r="A228" s="51"/>
      <c r="B228" s="51"/>
      <c r="C228" s="51"/>
      <c r="D228" s="51"/>
      <c r="E228" s="51"/>
      <c r="F228" s="51"/>
      <c r="G228" s="51"/>
      <c r="H228" s="51"/>
      <c r="I228" s="51"/>
      <c r="J228" s="51"/>
      <c r="K228" s="51"/>
    </row>
    <row r="229" spans="1:11" ht="12.75" customHeight="1">
      <c r="A229" s="52" t="s">
        <v>16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</row>
    <row r="230" spans="1:11" ht="12.75" customHeight="1">
      <c r="A230" s="52"/>
      <c r="B230" s="52"/>
      <c r="C230" s="52"/>
      <c r="D230" s="52"/>
      <c r="E230" s="52"/>
      <c r="F230" s="52"/>
      <c r="G230" s="52"/>
      <c r="H230" s="52"/>
      <c r="I230" s="52"/>
      <c r="J230" s="52"/>
      <c r="K230" s="52"/>
    </row>
    <row r="231" spans="1:11" ht="12.75" customHeight="1">
      <c r="A231" s="52"/>
      <c r="B231" s="52"/>
      <c r="C231" s="52"/>
      <c r="D231" s="52"/>
      <c r="E231" s="52"/>
      <c r="F231" s="52"/>
      <c r="G231" s="52"/>
      <c r="H231" s="52"/>
      <c r="I231" s="52"/>
      <c r="J231" s="52"/>
      <c r="K231" s="52"/>
    </row>
    <row r="232" spans="1:11" ht="12.75" customHeight="1">
      <c r="A232" s="52"/>
      <c r="B232" s="52"/>
      <c r="C232" s="52"/>
      <c r="D232" s="52"/>
      <c r="E232" s="52"/>
      <c r="F232" s="52"/>
      <c r="G232" s="52"/>
      <c r="H232" s="52"/>
      <c r="I232" s="52"/>
      <c r="J232" s="52"/>
      <c r="K232" s="52"/>
    </row>
    <row r="233" spans="1:11" ht="12.75" customHeight="1">
      <c r="A233" s="52"/>
      <c r="B233" s="52"/>
      <c r="C233" s="52"/>
      <c r="D233" s="52"/>
      <c r="E233" s="52"/>
      <c r="F233" s="52"/>
      <c r="G233" s="52"/>
      <c r="H233" s="52"/>
      <c r="I233" s="52"/>
      <c r="J233" s="52"/>
      <c r="K233" s="52"/>
    </row>
    <row r="234" spans="1:11" ht="12.75" customHeight="1">
      <c r="A234" s="52"/>
      <c r="B234" s="52"/>
      <c r="C234" s="52"/>
      <c r="D234" s="52"/>
      <c r="E234" s="52"/>
      <c r="F234" s="52"/>
      <c r="G234" s="52"/>
      <c r="H234" s="52"/>
      <c r="I234" s="52"/>
      <c r="J234" s="52"/>
      <c r="K234" s="52"/>
    </row>
    <row r="236" spans="1:11" ht="12.75" customHeight="1">
      <c r="A236" s="28" t="s">
        <v>17</v>
      </c>
      <c r="B236" s="29" t="s">
        <v>18</v>
      </c>
      <c r="C236" s="29" t="s">
        <v>19</v>
      </c>
      <c r="D236" s="4"/>
    </row>
    <row r="237" spans="1:11" ht="12.75" customHeight="1">
      <c r="A237" s="53" t="s">
        <v>21</v>
      </c>
      <c r="B237" s="53" t="str">
        <f>B$250&amp;" U20"</f>
        <v>North Queensland Cowboys U20</v>
      </c>
      <c r="C237" s="53" t="str">
        <f>C$250&amp;" U20"</f>
        <v>Canterbury-Bankstown Bulldogs U20</v>
      </c>
      <c r="D237" s="30" t="s">
        <v>22</v>
      </c>
      <c r="E237" s="31"/>
      <c r="F237" s="31"/>
      <c r="G237" s="31"/>
      <c r="H237" s="31"/>
      <c r="I237" s="31"/>
      <c r="J237" s="31"/>
      <c r="K237" s="32"/>
    </row>
    <row r="238" spans="1:11" ht="12.75" customHeight="1">
      <c r="A238" s="54"/>
      <c r="B238" s="54"/>
      <c r="C238" s="54"/>
      <c r="D238" s="45" t="str">
        <f>"NYC_14"&amp;E$8&amp;"07_"&amp;B$252&amp;"_"&amp;C$252&amp;"_PGM_H1"</f>
        <v>NYC_140907_NQL_BUL_PGM_H1</v>
      </c>
      <c r="E238" s="15"/>
      <c r="F238" s="15"/>
      <c r="G238" s="15"/>
      <c r="H238" s="15"/>
      <c r="I238" s="15"/>
      <c r="J238" s="15"/>
      <c r="K238" s="16"/>
    </row>
    <row r="239" spans="1:11" ht="12.75" customHeight="1">
      <c r="A239" s="5"/>
      <c r="B239" s="5"/>
      <c r="C239" s="5"/>
      <c r="D239" s="45" t="str">
        <f>"NYC_14"&amp;E$8&amp;"07_"&amp;B$252&amp;"_"&amp;C$252&amp;"_PGM_H2"</f>
        <v>NYC_140907_NQL_BUL_PGM_H2</v>
      </c>
      <c r="E239" s="15"/>
      <c r="F239" s="15"/>
      <c r="G239" s="15"/>
      <c r="H239" s="15"/>
      <c r="I239" s="15"/>
      <c r="J239" s="15"/>
      <c r="K239" s="16"/>
    </row>
    <row r="240" spans="1:11" ht="12.75" customHeight="1">
      <c r="A240" s="5"/>
      <c r="B240" s="5"/>
      <c r="C240" s="5"/>
      <c r="D240" s="17" t="s">
        <v>23</v>
      </c>
      <c r="E240" s="18"/>
      <c r="F240" s="18"/>
      <c r="G240" s="18"/>
      <c r="H240" s="18"/>
      <c r="I240" s="18"/>
      <c r="J240" s="18"/>
      <c r="K240" s="19"/>
    </row>
    <row r="241" spans="1:11" ht="12.75" customHeight="1">
      <c r="A241" s="5"/>
      <c r="B241" s="5"/>
      <c r="C241" s="5"/>
      <c r="D241" s="45" t="str">
        <f>"NYC_14"&amp;E$8&amp;"07_"&amp;B$252&amp;"_"&amp;C$252&amp;"_CAM1_H1"</f>
        <v>NYC_140907_NQL_BUL_CAM1_H1</v>
      </c>
      <c r="E241" s="15"/>
      <c r="F241" s="15"/>
      <c r="G241" s="15"/>
      <c r="H241" s="15"/>
      <c r="I241" s="15"/>
      <c r="J241" s="15"/>
      <c r="K241" s="16"/>
    </row>
    <row r="242" spans="1:11" ht="12.75" customHeight="1">
      <c r="A242" s="5"/>
      <c r="B242" s="33"/>
      <c r="C242" s="5"/>
      <c r="D242" s="45" t="str">
        <f>"NYC_14"&amp;E$8&amp;"07_"&amp;B$252&amp;"_"&amp;C$252&amp;"_CAM1_H2"</f>
        <v>NYC_140907_NQL_BUL_CAM1_H2</v>
      </c>
      <c r="E242" s="15"/>
      <c r="F242" s="15"/>
      <c r="G242" s="15"/>
      <c r="H242" s="15"/>
      <c r="I242" s="15"/>
      <c r="J242" s="15"/>
      <c r="K242" s="16"/>
    </row>
    <row r="243" spans="1:11" ht="12.75" customHeight="1">
      <c r="A243" s="5"/>
      <c r="B243" s="5"/>
      <c r="C243" s="5"/>
      <c r="D243" s="17" t="s">
        <v>24</v>
      </c>
      <c r="E243" s="18"/>
      <c r="F243" s="18"/>
      <c r="G243" s="18"/>
      <c r="H243" s="18"/>
      <c r="I243" s="18"/>
      <c r="J243" s="18"/>
      <c r="K243" s="19"/>
    </row>
    <row r="244" spans="1:11" ht="12.75" customHeight="1">
      <c r="A244" s="5"/>
      <c r="B244" s="5"/>
      <c r="C244" s="5"/>
      <c r="D244" s="45" t="str">
        <f>"REFNYC_14"&amp;E$8&amp;"07_"&amp;B$252&amp;"_"&amp;C$252&amp;"_PGM_H1"</f>
        <v>REFNYC_140907_NQL_BUL_PGM_H1</v>
      </c>
      <c r="E244" s="15"/>
      <c r="F244" s="15"/>
      <c r="G244" s="15"/>
      <c r="H244" s="15"/>
      <c r="I244" s="15"/>
      <c r="J244" s="15"/>
      <c r="K244" s="16"/>
    </row>
    <row r="245" spans="1:11" ht="12.75" customHeight="1">
      <c r="A245" s="5"/>
      <c r="B245" s="5"/>
      <c r="C245" s="5"/>
      <c r="D245" s="45" t="str">
        <f>"REFNYC_14"&amp;E$8&amp;"07_"&amp;B$252&amp;"_"&amp;C$252&amp;"_PGM_H2"</f>
        <v>REFNYC_140907_NQL_BUL_PGM_H2</v>
      </c>
      <c r="E245" s="15"/>
      <c r="F245" s="15"/>
      <c r="G245" s="15"/>
      <c r="H245" s="15"/>
      <c r="I245" s="15"/>
      <c r="J245" s="15"/>
      <c r="K245" s="16"/>
    </row>
    <row r="246" spans="1:11" ht="12.75" customHeight="1">
      <c r="A246" s="5"/>
      <c r="B246" s="5"/>
      <c r="C246" s="5"/>
      <c r="D246" s="17" t="s">
        <v>25</v>
      </c>
      <c r="E246" s="18"/>
      <c r="F246" s="18"/>
      <c r="G246" s="18"/>
      <c r="H246" s="18"/>
      <c r="I246" s="18"/>
      <c r="J246" s="18"/>
      <c r="K246" s="19"/>
    </row>
    <row r="247" spans="1:11" ht="12.75" customHeight="1">
      <c r="A247" s="5"/>
      <c r="B247" s="5"/>
      <c r="C247" s="5"/>
      <c r="D247" s="45" t="str">
        <f>"REFNYC_14"&amp;E$8&amp;"07_"&amp;B$252&amp;"_"&amp;C$252&amp;"_CAM1_H1"</f>
        <v>REFNYC_140907_NQL_BUL_CAM1_H1</v>
      </c>
      <c r="E247" s="15"/>
      <c r="F247" s="15"/>
      <c r="G247" s="15"/>
      <c r="H247" s="15"/>
      <c r="I247" s="15"/>
      <c r="J247" s="15"/>
      <c r="K247" s="16"/>
    </row>
    <row r="248" spans="1:11" ht="12.75" customHeight="1">
      <c r="A248" s="5"/>
      <c r="B248" s="5"/>
      <c r="C248" s="5"/>
      <c r="D248" s="45" t="str">
        <f>"REFNYC_14"&amp;E$8&amp;"07_"&amp;B$252&amp;"_"&amp;C$252&amp;"_CAM1_H2"</f>
        <v>REFNYC_140907_NQL_BUL_CAM1_H2</v>
      </c>
      <c r="E248" s="15"/>
      <c r="F248" s="15"/>
      <c r="G248" s="15"/>
      <c r="H248" s="15"/>
      <c r="I248" s="15"/>
      <c r="J248" s="15"/>
      <c r="K248" s="16"/>
    </row>
    <row r="249" spans="1:11" ht="12.75" customHeight="1">
      <c r="A249" s="5"/>
      <c r="B249" s="5"/>
      <c r="C249" s="5"/>
      <c r="D249" s="20"/>
      <c r="E249" s="4"/>
      <c r="F249" s="4"/>
      <c r="G249" s="4"/>
      <c r="H249" s="4"/>
      <c r="I249" s="4"/>
      <c r="J249" s="4"/>
      <c r="K249" s="4"/>
    </row>
    <row r="250" spans="1:11" ht="12.75" customHeight="1">
      <c r="A250" s="53" t="s">
        <v>26</v>
      </c>
      <c r="B250" s="53" t="s">
        <v>11</v>
      </c>
      <c r="C250" s="53" t="s">
        <v>2</v>
      </c>
      <c r="D250" s="30" t="s">
        <v>22</v>
      </c>
      <c r="E250" s="34"/>
      <c r="F250" s="34"/>
      <c r="G250" s="34"/>
      <c r="H250" s="34"/>
      <c r="I250" s="34"/>
      <c r="J250" s="34"/>
      <c r="K250" s="35"/>
    </row>
    <row r="251" spans="1:11" ht="12.75" customHeight="1">
      <c r="A251" s="54"/>
      <c r="B251" s="54"/>
      <c r="C251" s="54"/>
      <c r="D251" s="45" t="str">
        <f>"NRL_14"&amp;E$8&amp;"07_"&amp;B$252&amp;"_"&amp;C$252&amp;"_PGM_H1"</f>
        <v>NRL_140907_NQL_BUL_PGM_H1</v>
      </c>
      <c r="E251" s="15"/>
      <c r="F251" s="15"/>
      <c r="G251" s="15"/>
      <c r="H251" s="15"/>
      <c r="I251" s="15"/>
      <c r="J251" s="15"/>
      <c r="K251" s="25"/>
    </row>
    <row r="252" spans="1:11" ht="12.75" customHeight="1">
      <c r="A252" s="43" t="s">
        <v>30</v>
      </c>
      <c r="B252" s="8" t="s">
        <v>37</v>
      </c>
      <c r="C252" s="8" t="s">
        <v>39</v>
      </c>
      <c r="D252" s="45" t="str">
        <f>"NRL_14"&amp;E$8&amp;"07_"&amp;B$252&amp;"_"&amp;C$252&amp;"_PGM_H2"</f>
        <v>NRL_140907_NQL_BUL_PGM_H2</v>
      </c>
      <c r="E252" s="15"/>
      <c r="F252" s="15"/>
      <c r="G252" s="15"/>
      <c r="H252" s="15"/>
      <c r="I252" s="15"/>
      <c r="J252" s="15"/>
      <c r="K252" s="25"/>
    </row>
    <row r="253" spans="1:11" ht="12.75" customHeight="1">
      <c r="A253" s="5"/>
      <c r="B253" s="5"/>
      <c r="C253" s="5"/>
      <c r="D253" s="17" t="s">
        <v>23</v>
      </c>
      <c r="E253" s="18"/>
      <c r="F253" s="18"/>
      <c r="G253" s="18"/>
      <c r="H253" s="18"/>
      <c r="I253" s="18"/>
      <c r="J253" s="18"/>
      <c r="K253" s="19"/>
    </row>
    <row r="254" spans="1:11" ht="12.75" customHeight="1">
      <c r="A254" s="5"/>
      <c r="B254" s="5"/>
      <c r="C254" s="5"/>
      <c r="D254" s="45" t="str">
        <f>"NRL_14"&amp;E$8&amp;"07_"&amp;B$252&amp;"_"&amp;C$252&amp;"_CAM1_H1"</f>
        <v>NRL_140907_NQL_BUL_CAM1_H1</v>
      </c>
      <c r="E254" s="15"/>
      <c r="F254" s="15"/>
      <c r="G254" s="15"/>
      <c r="H254" s="15"/>
      <c r="I254" s="15"/>
      <c r="J254" s="15"/>
      <c r="K254" s="25"/>
    </row>
    <row r="255" spans="1:11" ht="12.75" customHeight="1">
      <c r="A255" s="5"/>
      <c r="B255" s="5"/>
      <c r="C255" s="5"/>
      <c r="D255" s="45" t="str">
        <f>"NRL_14"&amp;E$8&amp;"07_"&amp;B$252&amp;"_"&amp;C$252&amp;"_CAM1_H2"</f>
        <v>NRL_140907_NQL_BUL_CAM1_H2</v>
      </c>
      <c r="E255" s="15"/>
      <c r="F255" s="15"/>
      <c r="G255" s="15"/>
      <c r="H255" s="15"/>
      <c r="I255" s="15"/>
      <c r="J255" s="15"/>
      <c r="K255" s="25"/>
    </row>
    <row r="256" spans="1:11" ht="12.75" customHeight="1">
      <c r="A256" s="5"/>
      <c r="B256" s="5"/>
      <c r="C256" s="5"/>
      <c r="D256" s="17" t="s">
        <v>24</v>
      </c>
      <c r="E256" s="18"/>
      <c r="F256" s="18"/>
      <c r="G256" s="18"/>
      <c r="H256" s="18"/>
      <c r="I256" s="18"/>
      <c r="J256" s="18"/>
      <c r="K256" s="19"/>
    </row>
    <row r="257" spans="1:11" ht="12.75" customHeight="1">
      <c r="A257" s="5"/>
      <c r="B257" s="26"/>
      <c r="C257" s="5"/>
      <c r="D257" s="45" t="str">
        <f>"REFNRL_14"&amp;E$8&amp;"07_"&amp;B$252&amp;"_"&amp;C$252&amp;"_PGM_H1"</f>
        <v>REFNRL_140907_NQL_BUL_PGM_H1</v>
      </c>
      <c r="E257" s="15"/>
      <c r="F257" s="15"/>
      <c r="G257" s="15"/>
      <c r="H257" s="15"/>
      <c r="I257" s="27"/>
      <c r="J257" s="27"/>
      <c r="K257" s="25"/>
    </row>
    <row r="258" spans="1:11" ht="12.75" customHeight="1">
      <c r="A258" s="5"/>
      <c r="B258" s="4"/>
      <c r="C258" s="5"/>
      <c r="D258" s="45" t="str">
        <f>"REFNRL_14"&amp;E$8&amp;"07_"&amp;B$252&amp;"_"&amp;C$252&amp;"_PGM_H2"</f>
        <v>REFNRL_140907_NQL_BUL_PGM_H2</v>
      </c>
      <c r="E258" s="15"/>
      <c r="F258" s="15"/>
      <c r="G258" s="15"/>
      <c r="H258" s="15"/>
      <c r="I258" s="27"/>
      <c r="J258" s="27"/>
      <c r="K258" s="25"/>
    </row>
    <row r="259" spans="1:11" ht="12.75" customHeight="1">
      <c r="A259" s="5"/>
      <c r="B259" s="11"/>
      <c r="C259" s="5"/>
      <c r="D259" s="17" t="s">
        <v>25</v>
      </c>
      <c r="E259" s="18"/>
      <c r="F259" s="18"/>
      <c r="G259" s="18"/>
      <c r="H259" s="18"/>
      <c r="I259" s="18"/>
      <c r="J259" s="18"/>
      <c r="K259" s="19"/>
    </row>
    <row r="260" spans="1:11" ht="12.75" customHeight="1">
      <c r="A260" s="5"/>
      <c r="B260" s="26"/>
      <c r="C260" s="5"/>
      <c r="D260" s="45" t="str">
        <f>"REFNRL_14"&amp;E$8&amp;"07_"&amp;B$252&amp;"_"&amp;C$252&amp;"_CAM1_H1"</f>
        <v>REFNRL_140907_NQL_BUL_CAM1_H1</v>
      </c>
      <c r="E260" s="15"/>
      <c r="F260" s="15"/>
      <c r="G260" s="15"/>
      <c r="H260" s="15"/>
      <c r="I260" s="27"/>
      <c r="J260" s="27"/>
      <c r="K260" s="25"/>
    </row>
    <row r="261" spans="1:11" ht="12.75" customHeight="1">
      <c r="A261" s="5"/>
      <c r="B261" s="4"/>
      <c r="C261" s="5"/>
      <c r="D261" s="45" t="str">
        <f>"REFNRL_14"&amp;E$8&amp;"07_"&amp;B$252&amp;"_"&amp;C$252&amp;"_CAM1_H2"</f>
        <v>REFNRL_140907_NQL_BUL_CAM1_H2</v>
      </c>
      <c r="E261" s="15"/>
      <c r="F261" s="15"/>
      <c r="G261" s="15"/>
      <c r="H261" s="15"/>
      <c r="I261" s="27"/>
      <c r="J261" s="27"/>
      <c r="K261" s="25"/>
    </row>
    <row r="264" spans="1:11" ht="3.6" customHeight="1">
      <c r="A264" s="51" t="s">
        <v>27</v>
      </c>
      <c r="B264" s="51"/>
      <c r="C264" s="51"/>
      <c r="D264" s="51"/>
      <c r="E264" s="51"/>
      <c r="F264" s="51"/>
      <c r="G264" s="51"/>
      <c r="H264" s="51"/>
      <c r="I264" s="51"/>
      <c r="J264" s="51"/>
      <c r="K264" s="51"/>
    </row>
    <row r="265" spans="1:11" ht="12.6" customHeight="1">
      <c r="A265" s="51"/>
      <c r="B265" s="51"/>
      <c r="C265" s="51"/>
      <c r="D265" s="51"/>
      <c r="E265" s="51"/>
      <c r="F265" s="51"/>
      <c r="G265" s="51"/>
      <c r="H265" s="51"/>
      <c r="I265" s="51"/>
      <c r="J265" s="51"/>
      <c r="K265" s="51"/>
    </row>
    <row r="266" spans="1:11" ht="43.5" customHeight="1">
      <c r="A266" s="51"/>
      <c r="B266" s="51"/>
      <c r="C266" s="51"/>
      <c r="D266" s="51"/>
      <c r="E266" s="51"/>
      <c r="F266" s="51"/>
      <c r="G266" s="51"/>
      <c r="H266" s="51"/>
      <c r="I266" s="51"/>
      <c r="J266" s="51"/>
      <c r="K266" s="51"/>
    </row>
    <row r="267" spans="1:11" ht="12.75" customHeight="1">
      <c r="A267" s="52" t="s">
        <v>16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</row>
    <row r="268" spans="1:11" ht="12.75" customHeight="1">
      <c r="A268" s="52"/>
      <c r="B268" s="52"/>
      <c r="C268" s="52"/>
      <c r="D268" s="52"/>
      <c r="E268" s="52"/>
      <c r="F268" s="52"/>
      <c r="G268" s="52"/>
      <c r="H268" s="52"/>
      <c r="I268" s="52"/>
      <c r="J268" s="52"/>
      <c r="K268" s="52"/>
    </row>
    <row r="269" spans="1:11" ht="12.75" customHeight="1">
      <c r="A269" s="52"/>
      <c r="B269" s="52"/>
      <c r="C269" s="52"/>
      <c r="D269" s="52"/>
      <c r="E269" s="52"/>
      <c r="F269" s="52"/>
      <c r="G269" s="52"/>
      <c r="H269" s="52"/>
      <c r="I269" s="52"/>
      <c r="J269" s="52"/>
      <c r="K269" s="52"/>
    </row>
    <row r="270" spans="1:11" ht="12.75" customHeight="1">
      <c r="A270" s="52"/>
      <c r="B270" s="52"/>
      <c r="C270" s="52"/>
      <c r="D270" s="52"/>
      <c r="E270" s="52"/>
      <c r="F270" s="52"/>
      <c r="G270" s="52"/>
      <c r="H270" s="52"/>
      <c r="I270" s="52"/>
      <c r="J270" s="52"/>
      <c r="K270" s="52"/>
    </row>
    <row r="271" spans="1:11" ht="12.75" customHeight="1">
      <c r="A271" s="52"/>
      <c r="B271" s="52"/>
      <c r="C271" s="52"/>
      <c r="D271" s="52"/>
      <c r="E271" s="52"/>
      <c r="F271" s="52"/>
      <c r="G271" s="52"/>
      <c r="H271" s="52"/>
      <c r="I271" s="52"/>
      <c r="J271" s="52"/>
      <c r="K271" s="52"/>
    </row>
    <row r="272" spans="1:11" ht="12.75" customHeight="1">
      <c r="A272" s="52"/>
      <c r="B272" s="52"/>
      <c r="C272" s="52"/>
      <c r="D272" s="52"/>
      <c r="E272" s="52"/>
      <c r="F272" s="52"/>
      <c r="G272" s="52"/>
      <c r="H272" s="52"/>
      <c r="I272" s="52"/>
      <c r="J272" s="52"/>
      <c r="K272" s="52"/>
    </row>
    <row r="274" spans="1:11" ht="12.75" customHeight="1">
      <c r="A274" s="28" t="s">
        <v>17</v>
      </c>
      <c r="B274" s="29" t="s">
        <v>18</v>
      </c>
      <c r="C274" s="29" t="s">
        <v>19</v>
      </c>
      <c r="D274" s="4"/>
    </row>
    <row r="275" spans="1:11" ht="12.75" customHeight="1">
      <c r="A275" s="53" t="s">
        <v>21</v>
      </c>
      <c r="B275" s="53" t="str">
        <f>B$288&amp;" U20"</f>
        <v>Penrith Panthers U20</v>
      </c>
      <c r="C275" s="53" t="str">
        <f>C$288&amp;" U20"</f>
        <v>Melbourne Storm U20</v>
      </c>
      <c r="D275" s="30" t="s">
        <v>22</v>
      </c>
      <c r="E275" s="31"/>
      <c r="F275" s="31"/>
      <c r="G275" s="31"/>
      <c r="H275" s="31"/>
      <c r="I275" s="31"/>
      <c r="J275" s="31"/>
      <c r="K275" s="32"/>
    </row>
    <row r="276" spans="1:11" ht="12.75" customHeight="1">
      <c r="A276" s="54"/>
      <c r="B276" s="54"/>
      <c r="C276" s="54"/>
      <c r="D276" s="45" t="str">
        <f>"NYC_14"&amp;E$8&amp;"08_"&amp;B$290&amp;"_"&amp;C$290&amp;"_PGM_H1"</f>
        <v>NYC_140908_PEN_MEL_PGM_H1</v>
      </c>
      <c r="E276" s="15"/>
      <c r="F276" s="15"/>
      <c r="G276" s="15"/>
      <c r="H276" s="15"/>
      <c r="I276" s="15"/>
      <c r="J276" s="15"/>
      <c r="K276" s="25"/>
    </row>
    <row r="277" spans="1:11" ht="12.75" customHeight="1">
      <c r="A277" s="5"/>
      <c r="B277" s="5"/>
      <c r="C277" s="5"/>
      <c r="D277" s="45" t="str">
        <f>"NYC_14"&amp;E$8&amp;"08_"&amp;B$290&amp;"_"&amp;C$290&amp;"_PGM_H2"</f>
        <v>NYC_140908_PEN_MEL_PGM_H2</v>
      </c>
      <c r="E277" s="15"/>
      <c r="F277" s="15"/>
      <c r="G277" s="15"/>
      <c r="H277" s="15"/>
      <c r="I277" s="15"/>
      <c r="J277" s="15"/>
      <c r="K277" s="25"/>
    </row>
    <row r="278" spans="1:11" ht="12.75" customHeight="1">
      <c r="A278" s="5"/>
      <c r="B278" s="5"/>
      <c r="C278" s="5"/>
      <c r="D278" s="17" t="s">
        <v>23</v>
      </c>
      <c r="E278" s="18"/>
      <c r="F278" s="18"/>
      <c r="G278" s="18"/>
      <c r="H278" s="18"/>
      <c r="I278" s="18"/>
      <c r="J278" s="18"/>
      <c r="K278" s="19"/>
    </row>
    <row r="279" spans="1:11" ht="12.75" customHeight="1">
      <c r="A279" s="5"/>
      <c r="B279" s="5"/>
      <c r="C279" s="5"/>
      <c r="D279" s="45" t="str">
        <f>"NYC_14"&amp;E$8&amp;"08_"&amp;B$290&amp;"_"&amp;C$290&amp;"_CAM1_H1"</f>
        <v>NYC_140908_PEN_MEL_CAM1_H1</v>
      </c>
      <c r="E279" s="15"/>
      <c r="F279" s="15"/>
      <c r="G279" s="15"/>
      <c r="H279" s="15"/>
      <c r="I279" s="15"/>
      <c r="J279" s="15"/>
      <c r="K279" s="25"/>
    </row>
    <row r="280" spans="1:11" ht="12.75" customHeight="1">
      <c r="A280" s="5"/>
      <c r="B280" s="33"/>
      <c r="C280" s="5"/>
      <c r="D280" s="45" t="str">
        <f>"NYC_14"&amp;E$8&amp;"08_"&amp;B$290&amp;"_"&amp;C$290&amp;"_CAM1_H2"</f>
        <v>NYC_140908_PEN_MEL_CAM1_H2</v>
      </c>
      <c r="E280" s="15"/>
      <c r="F280" s="15"/>
      <c r="G280" s="15"/>
      <c r="H280" s="15"/>
      <c r="I280" s="15"/>
      <c r="J280" s="15"/>
      <c r="K280" s="25"/>
    </row>
    <row r="281" spans="1:11" ht="12.75" customHeight="1">
      <c r="A281" s="5"/>
      <c r="B281" s="5"/>
      <c r="C281" s="5"/>
      <c r="D281" s="17" t="s">
        <v>24</v>
      </c>
      <c r="E281" s="18"/>
      <c r="F281" s="18"/>
      <c r="G281" s="18"/>
      <c r="H281" s="18"/>
      <c r="I281" s="18"/>
      <c r="J281" s="18"/>
      <c r="K281" s="19"/>
    </row>
    <row r="282" spans="1:11" ht="12.75" customHeight="1">
      <c r="A282" s="5"/>
      <c r="B282" s="5"/>
      <c r="C282" s="5"/>
      <c r="D282" s="45" t="str">
        <f>"REFNYC_14"&amp;E$8&amp;"08_"&amp;B$290&amp;"_"&amp;C$290&amp;"_PGM_H1"</f>
        <v>REFNYC_140908_PEN_MEL_PGM_H1</v>
      </c>
      <c r="E282" s="15"/>
      <c r="F282" s="15"/>
      <c r="G282" s="15"/>
      <c r="H282" s="15"/>
      <c r="I282" s="15"/>
      <c r="J282" s="15"/>
      <c r="K282" s="25"/>
    </row>
    <row r="283" spans="1:11" ht="12.75" customHeight="1">
      <c r="A283" s="5"/>
      <c r="B283" s="5"/>
      <c r="C283" s="5"/>
      <c r="D283" s="45" t="str">
        <f>"REFNYC_14"&amp;E$8&amp;"08_"&amp;B$290&amp;"_"&amp;C$290&amp;"_PGM_H2"</f>
        <v>REFNYC_140908_PEN_MEL_PGM_H2</v>
      </c>
      <c r="E283" s="15"/>
      <c r="F283" s="15"/>
      <c r="G283" s="15"/>
      <c r="H283" s="15"/>
      <c r="I283" s="15"/>
      <c r="J283" s="15"/>
      <c r="K283" s="25"/>
    </row>
    <row r="284" spans="1:11" ht="12.75" customHeight="1">
      <c r="A284" s="5"/>
      <c r="B284" s="5"/>
      <c r="C284" s="5"/>
      <c r="D284" s="17" t="s">
        <v>25</v>
      </c>
      <c r="E284" s="18"/>
      <c r="F284" s="18"/>
      <c r="G284" s="18"/>
      <c r="H284" s="18"/>
      <c r="I284" s="18"/>
      <c r="J284" s="18"/>
      <c r="K284" s="19"/>
    </row>
    <row r="285" spans="1:11" ht="12.75" customHeight="1">
      <c r="A285" s="5"/>
      <c r="B285" s="5"/>
      <c r="C285" s="50"/>
      <c r="D285" s="45" t="str">
        <f>"REFNYC_14"&amp;E$8&amp;"08_"&amp;B$290&amp;"_"&amp;C$290&amp;"_CAM1_H1"</f>
        <v>REFNYC_140908_PEN_MEL_CAM1_H1</v>
      </c>
      <c r="E285" s="15"/>
      <c r="F285" s="15"/>
      <c r="G285" s="15"/>
      <c r="H285" s="15"/>
      <c r="I285" s="15"/>
      <c r="J285" s="15"/>
      <c r="K285" s="25"/>
    </row>
    <row r="286" spans="1:11" ht="12.75" customHeight="1">
      <c r="A286" s="5"/>
      <c r="B286" s="5"/>
      <c r="C286" s="5"/>
      <c r="D286" s="45" t="str">
        <f>"REFNYC_14"&amp;E$8&amp;"08_"&amp;B$290&amp;"_"&amp;C$290&amp;"_CAM1_H2"</f>
        <v>REFNYC_140908_PEN_MEL_CAM1_H2</v>
      </c>
      <c r="E286" s="15"/>
      <c r="F286" s="15"/>
      <c r="G286" s="15"/>
      <c r="H286" s="15"/>
      <c r="I286" s="15"/>
      <c r="J286" s="15"/>
      <c r="K286" s="25"/>
    </row>
    <row r="287" spans="1:11" ht="12.75" customHeight="1">
      <c r="A287" s="5"/>
      <c r="B287" s="5"/>
      <c r="C287" s="5"/>
      <c r="D287" s="20"/>
      <c r="E287" s="4"/>
      <c r="F287" s="4"/>
      <c r="G287" s="4"/>
      <c r="H287" s="4"/>
      <c r="I287" s="4"/>
      <c r="J287" s="4"/>
      <c r="K287" s="4"/>
    </row>
    <row r="288" spans="1:11" ht="12.75" customHeight="1">
      <c r="A288" s="53" t="s">
        <v>26</v>
      </c>
      <c r="B288" s="53" t="s">
        <v>13</v>
      </c>
      <c r="C288" s="53" t="s">
        <v>6</v>
      </c>
      <c r="D288" s="30" t="s">
        <v>22</v>
      </c>
      <c r="E288" s="34"/>
      <c r="F288" s="34"/>
      <c r="G288" s="34"/>
      <c r="H288" s="34"/>
      <c r="I288" s="34"/>
      <c r="J288" s="34"/>
      <c r="K288" s="35"/>
    </row>
    <row r="289" spans="1:11" ht="12.75" customHeight="1">
      <c r="A289" s="55"/>
      <c r="B289" s="54"/>
      <c r="C289" s="54"/>
      <c r="D289" s="45" t="str">
        <f>"NRL_14"&amp;E$8&amp;"08_"&amp;B$290&amp;"_"&amp;C$290&amp;"_PGM_H1"</f>
        <v>NRL_140908_PEN_MEL_PGM_H1</v>
      </c>
      <c r="E289" s="15"/>
      <c r="F289" s="15"/>
      <c r="G289" s="15"/>
      <c r="H289" s="15"/>
      <c r="I289" s="15"/>
      <c r="J289" s="27"/>
      <c r="K289" s="25"/>
    </row>
    <row r="290" spans="1:11" ht="12.75" customHeight="1">
      <c r="A290" s="43" t="s">
        <v>30</v>
      </c>
      <c r="B290" s="8" t="s">
        <v>36</v>
      </c>
      <c r="C290" s="8" t="s">
        <v>31</v>
      </c>
      <c r="D290" s="45" t="str">
        <f>"NRL_14"&amp;E$8&amp;"08_"&amp;B$290&amp;"_"&amp;C$290&amp;"_PGM_H2"</f>
        <v>NRL_140908_PEN_MEL_PGM_H2</v>
      </c>
      <c r="E290" s="15"/>
      <c r="F290" s="15"/>
      <c r="G290" s="15"/>
      <c r="H290" s="15"/>
      <c r="I290" s="15"/>
      <c r="J290" s="27"/>
      <c r="K290" s="25"/>
    </row>
    <row r="291" spans="1:11" ht="12.75" customHeight="1">
      <c r="A291" s="5"/>
      <c r="B291" s="5"/>
      <c r="C291" s="5"/>
      <c r="D291" s="17" t="s">
        <v>23</v>
      </c>
      <c r="E291" s="18"/>
      <c r="F291" s="18"/>
      <c r="G291" s="18"/>
      <c r="H291" s="18"/>
      <c r="I291" s="18"/>
      <c r="J291" s="18"/>
      <c r="K291" s="19"/>
    </row>
    <row r="292" spans="1:11" ht="12.75" customHeight="1">
      <c r="A292" s="5"/>
      <c r="B292" s="5"/>
      <c r="C292" s="5"/>
      <c r="D292" s="45" t="str">
        <f>"NRL_14"&amp;E$8&amp;"08_"&amp;B$290&amp;"_"&amp;C$290&amp;"_CAM1_H1"</f>
        <v>NRL_140908_PEN_MEL_CAM1_H1</v>
      </c>
      <c r="E292" s="15"/>
      <c r="F292" s="15"/>
      <c r="G292" s="15"/>
      <c r="H292" s="15"/>
      <c r="I292" s="15"/>
      <c r="J292" s="27"/>
      <c r="K292" s="25"/>
    </row>
    <row r="293" spans="1:11" ht="12.75" customHeight="1">
      <c r="A293" s="5"/>
      <c r="B293" s="5"/>
      <c r="C293" s="5"/>
      <c r="D293" s="45" t="str">
        <f>"NRL_14"&amp;E$8&amp;"08_"&amp;B$290&amp;"_"&amp;C$290&amp;"_CAM1_H2"</f>
        <v>NRL_140908_PEN_MEL_CAM1_H2</v>
      </c>
      <c r="E293" s="15"/>
      <c r="F293" s="15"/>
      <c r="G293" s="15"/>
      <c r="H293" s="15"/>
      <c r="I293" s="15"/>
      <c r="J293" s="27"/>
      <c r="K293" s="25"/>
    </row>
    <row r="294" spans="1:11" ht="12.75" customHeight="1">
      <c r="A294" s="5"/>
      <c r="B294" s="5"/>
      <c r="C294" s="5"/>
      <c r="D294" s="17" t="s">
        <v>24</v>
      </c>
      <c r="E294" s="18"/>
      <c r="F294" s="18"/>
      <c r="G294" s="18"/>
      <c r="H294" s="18"/>
      <c r="I294" s="18"/>
      <c r="J294" s="18"/>
      <c r="K294" s="19"/>
    </row>
    <row r="295" spans="1:11" ht="12.75" customHeight="1">
      <c r="A295" s="5"/>
      <c r="B295" s="26"/>
      <c r="C295" s="5"/>
      <c r="D295" s="45" t="str">
        <f>"REFNRL_14"&amp;E$8&amp;"08_"&amp;B$290&amp;"_"&amp;C$290&amp;"_PGM_H1"</f>
        <v>REFNRL_140908_PEN_MEL_PGM_H1</v>
      </c>
      <c r="E295" s="15"/>
      <c r="F295" s="15"/>
      <c r="G295" s="15"/>
      <c r="H295" s="15"/>
      <c r="I295" s="27"/>
      <c r="J295" s="27"/>
      <c r="K295" s="25"/>
    </row>
    <row r="296" spans="1:11" ht="12.75" customHeight="1">
      <c r="A296" s="5"/>
      <c r="B296" s="4"/>
      <c r="C296" s="5"/>
      <c r="D296" s="45" t="str">
        <f>"REFNRL_14"&amp;E$8&amp;"08_"&amp;B$290&amp;"_"&amp;C$290&amp;"_PGM_H2"</f>
        <v>REFNRL_140908_PEN_MEL_PGM_H2</v>
      </c>
      <c r="E296" s="15"/>
      <c r="F296" s="15"/>
      <c r="G296" s="15"/>
      <c r="H296" s="15"/>
      <c r="I296" s="27"/>
      <c r="J296" s="27"/>
      <c r="K296" s="25"/>
    </row>
    <row r="297" spans="1:11" ht="12.75" customHeight="1">
      <c r="A297" s="5"/>
      <c r="B297" s="11"/>
      <c r="C297" s="5"/>
      <c r="D297" s="17" t="s">
        <v>25</v>
      </c>
      <c r="E297" s="18"/>
      <c r="F297" s="18"/>
      <c r="G297" s="18"/>
      <c r="H297" s="18"/>
      <c r="I297" s="18"/>
      <c r="J297" s="18"/>
      <c r="K297" s="19"/>
    </row>
    <row r="298" spans="1:11" ht="12.75" customHeight="1">
      <c r="A298" s="5"/>
      <c r="B298" s="26"/>
      <c r="C298" s="5"/>
      <c r="D298" s="45" t="str">
        <f>"REFNRL_14"&amp;E$8&amp;"08_"&amp;B$290&amp;"_"&amp;C$290&amp;"_CAM1_H1"</f>
        <v>REFNRL_140908_PEN_MEL_CAM1_H1</v>
      </c>
      <c r="E298" s="15"/>
      <c r="F298" s="15"/>
      <c r="G298" s="15"/>
      <c r="H298" s="15"/>
      <c r="I298" s="27"/>
      <c r="J298" s="27"/>
      <c r="K298" s="25"/>
    </row>
    <row r="299" spans="1:11" ht="12.75" customHeight="1">
      <c r="A299" s="5"/>
      <c r="B299" s="4"/>
      <c r="C299" s="5"/>
      <c r="D299" s="45" t="str">
        <f>"REFNRL_14"&amp;E$8&amp;"08_"&amp;B$290&amp;"_"&amp;C$290&amp;"_CAM1_H2"</f>
        <v>REFNRL_140908_PEN_MEL_CAM1_H2</v>
      </c>
      <c r="E299" s="15"/>
      <c r="F299" s="15"/>
      <c r="G299" s="15"/>
      <c r="H299" s="15"/>
      <c r="I299" s="27"/>
      <c r="J299" s="27"/>
      <c r="K299" s="25"/>
    </row>
    <row r="303" spans="1:11" ht="11.25" customHeight="1"/>
    <row r="304" spans="1:11" ht="7.5" hidden="1" customHeight="1"/>
    <row r="305" spans="1:11" ht="3.6" customHeight="1">
      <c r="A305" s="51" t="s">
        <v>27</v>
      </c>
      <c r="B305" s="51"/>
      <c r="C305" s="51"/>
      <c r="D305" s="51"/>
      <c r="E305" s="51"/>
      <c r="F305" s="51"/>
      <c r="G305" s="51"/>
      <c r="H305" s="51"/>
      <c r="I305" s="51"/>
      <c r="J305" s="51"/>
      <c r="K305" s="51"/>
    </row>
    <row r="306" spans="1:11" ht="12.6" customHeight="1">
      <c r="A306" s="51"/>
      <c r="B306" s="51"/>
      <c r="C306" s="51"/>
      <c r="D306" s="51"/>
      <c r="E306" s="51"/>
      <c r="F306" s="51"/>
      <c r="G306" s="51"/>
      <c r="H306" s="51"/>
      <c r="I306" s="51"/>
      <c r="J306" s="51"/>
      <c r="K306" s="51"/>
    </row>
    <row r="307" spans="1:11" ht="25.5" customHeight="1">
      <c r="A307" s="51"/>
      <c r="B307" s="51"/>
      <c r="C307" s="51"/>
      <c r="D307" s="51"/>
      <c r="E307" s="51"/>
      <c r="F307" s="51"/>
      <c r="G307" s="51"/>
      <c r="H307" s="51"/>
      <c r="I307" s="51"/>
      <c r="J307" s="51"/>
      <c r="K307" s="51"/>
    </row>
  </sheetData>
  <sortState ref="S1:S16">
    <sortCondition ref="S1"/>
  </sortState>
  <mergeCells count="65">
    <mergeCell ref="A22:A23"/>
    <mergeCell ref="B22:B23"/>
    <mergeCell ref="C22:C23"/>
    <mergeCell ref="A1:L6"/>
    <mergeCell ref="E8:F8"/>
    <mergeCell ref="A9:A10"/>
    <mergeCell ref="B9:B10"/>
    <mergeCell ref="C9:C10"/>
    <mergeCell ref="A98:A99"/>
    <mergeCell ref="B98:B99"/>
    <mergeCell ref="C98:C99"/>
    <mergeCell ref="A36:K38"/>
    <mergeCell ref="A39:K44"/>
    <mergeCell ref="A47:A48"/>
    <mergeCell ref="B47:B48"/>
    <mergeCell ref="C47:C48"/>
    <mergeCell ref="A60:A61"/>
    <mergeCell ref="B60:B61"/>
    <mergeCell ref="C60:C61"/>
    <mergeCell ref="A74:K76"/>
    <mergeCell ref="A77:K82"/>
    <mergeCell ref="A85:A86"/>
    <mergeCell ref="B85:B86"/>
    <mergeCell ref="C85:C86"/>
    <mergeCell ref="A174:A175"/>
    <mergeCell ref="B174:B175"/>
    <mergeCell ref="C174:C175"/>
    <mergeCell ref="A112:K114"/>
    <mergeCell ref="A115:K120"/>
    <mergeCell ref="A123:A124"/>
    <mergeCell ref="B123:B124"/>
    <mergeCell ref="C123:C124"/>
    <mergeCell ref="A136:A137"/>
    <mergeCell ref="B136:B137"/>
    <mergeCell ref="C136:C137"/>
    <mergeCell ref="A150:K152"/>
    <mergeCell ref="A153:K158"/>
    <mergeCell ref="A161:A162"/>
    <mergeCell ref="B161:B162"/>
    <mergeCell ref="C161:C162"/>
    <mergeCell ref="A250:A251"/>
    <mergeCell ref="B250:B251"/>
    <mergeCell ref="C250:C251"/>
    <mergeCell ref="A188:K190"/>
    <mergeCell ref="A191:K196"/>
    <mergeCell ref="A199:A200"/>
    <mergeCell ref="B199:B200"/>
    <mergeCell ref="C199:C200"/>
    <mergeCell ref="A212:A213"/>
    <mergeCell ref="B212:B213"/>
    <mergeCell ref="C212:C213"/>
    <mergeCell ref="A226:K228"/>
    <mergeCell ref="A229:K234"/>
    <mergeCell ref="A237:A238"/>
    <mergeCell ref="B237:B238"/>
    <mergeCell ref="C237:C238"/>
    <mergeCell ref="A305:K307"/>
    <mergeCell ref="A264:K266"/>
    <mergeCell ref="A267:K272"/>
    <mergeCell ref="A275:A276"/>
    <mergeCell ref="B275:B276"/>
    <mergeCell ref="C275:C276"/>
    <mergeCell ref="A288:A289"/>
    <mergeCell ref="B288:B289"/>
    <mergeCell ref="C288:C289"/>
  </mergeCells>
  <dataValidations count="2">
    <dataValidation type="list" allowBlank="1" showInputMessage="1" showErrorMessage="1" sqref="B288:C289 B250:C251 B212:C213 B174:C175 B136:C137 B98:C99 B60:C61 B22:C23">
      <formula1>$O$1:$O$16</formula1>
    </dataValidation>
    <dataValidation type="list" allowBlank="1" showInputMessage="1" showErrorMessage="1" sqref="B24:C24 B62:C62 B100:C100 B138:C138 B176:C176 B214:C214 B252:C252 B290:C290">
      <formula1>$S$1:$S$16</formula1>
    </dataValidation>
  </dataValidations>
  <pageMargins left="0.4" right="0.4" top="0.75" bottom="0.75" header="0.3" footer="0.3"/>
  <pageSetup paperSize="9" scale="94" fitToHeight="8" orientation="landscape" horizontalDpi="0" verticalDpi="0" r:id="rId1"/>
  <rowBreaks count="7" manualBreakCount="7">
    <brk id="38" max="10" man="1"/>
    <brk id="76" max="10" man="1"/>
    <brk id="114" max="10" man="1"/>
    <brk id="152" max="10" man="1"/>
    <brk id="190" max="10" man="1"/>
    <brk id="228" max="10" man="1"/>
    <brk id="266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NRLFILMS NAMING CONVENTIONS</vt:lpstr>
      <vt:lpstr>'NRLFILMS NAMING CONVENTIONS'!Print_Area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</dc:creator>
  <cp:lastModifiedBy>Rahul</cp:lastModifiedBy>
  <cp:lastPrinted>2014-05-07T03:05:23Z</cp:lastPrinted>
  <dcterms:created xsi:type="dcterms:W3CDTF">2014-04-23T13:01:01Z</dcterms:created>
  <dcterms:modified xsi:type="dcterms:W3CDTF">2014-05-23T13:12:39Z</dcterms:modified>
</cp:coreProperties>
</file>